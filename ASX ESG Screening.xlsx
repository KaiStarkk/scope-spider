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2" activeTab="0" autoFilterDateGrouping="1"/>
  </bookViews>
  <sheets>
    <sheet name="Companies_Results" sheetId="1" state="visible" r:id="rId1"/>
    <sheet name="Summary" sheetId="2" state="visible" r:id="rId2"/>
    <sheet name="Profitability" sheetId="3" state="visible" r:id="rId3"/>
  </sheets>
  <definedNames>
    <definedName name="_UNDO_UPS_" hidden="1">Companies_Results!$342:$342</definedName>
    <definedName name="_UNDO_UPS_SEL_" hidden="1">Companies_Results!$342:$342</definedName>
    <definedName name="_xlnm._FilterDatabase" localSheetId="0" hidden="1">'Companies_Results'!$A$4:$AF$340</definedName>
  </definedNames>
  <calcPr calcId="191028" fullCalcOnLoad="1"/>
</workbook>
</file>

<file path=xl/styles.xml><?xml version="1.0" encoding="utf-8"?>
<styleSheet xmlns="http://schemas.openxmlformats.org/spreadsheetml/2006/main">
  <numFmts count="1">
    <numFmt numFmtId="164" formatCode="_-* #,##0_-;\-* #,##0_-;_-* &quot;-&quot;??_-;_-@_-"/>
  </numFmts>
  <fonts count="9">
    <font>
      <name val="Arial"/>
      <family val="2"/>
      <color theme="1"/>
      <sz val="10"/>
    </font>
    <font>
      <name val="Arial"/>
      <family val="2"/>
      <color rgb="FF000000"/>
      <sz val="10"/>
    </font>
    <font>
      <name val="Arial"/>
      <family val="2"/>
      <b val="1"/>
      <color rgb="FF000000"/>
      <sz val="10"/>
    </font>
    <font>
      <name val="Arial"/>
      <family val="2"/>
      <b val="1"/>
      <color rgb="FF1DA5F9"/>
      <sz val="10"/>
    </font>
    <font>
      <name val="Arial"/>
      <family val="2"/>
      <b val="1"/>
      <color theme="0"/>
      <sz val="10"/>
    </font>
    <font>
      <name val="Arial"/>
      <family val="2"/>
      <sz val="10"/>
    </font>
    <font>
      <name val="Calibri"/>
      <family val="2"/>
      <color rgb="FF000000"/>
      <sz val="11"/>
    </font>
    <font>
      <name val="Arial"/>
      <family val="2"/>
      <b val="1"/>
      <color rgb="FF1DA5F9"/>
      <sz val="12"/>
    </font>
    <font>
      <name val="Arial"/>
      <family val="2"/>
      <color rgb="FF3A4044"/>
      <sz val="9"/>
    </font>
  </fonts>
  <fills count="7">
    <fill>
      <patternFill/>
    </fill>
    <fill>
      <patternFill patternType="gray125"/>
    </fill>
    <fill>
      <patternFill patternType="solid">
        <fgColor rgb="FF3A4044"/>
        <bgColor indexed="64"/>
      </patternFill>
    </fill>
    <fill>
      <patternFill patternType="solid">
        <fgColor rgb="FF001C0C"/>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theme="9" tint="0.7999816888943144"/>
        <bgColor indexed="64"/>
      </patternFill>
    </fill>
  </fills>
  <borders count="1">
    <border>
      <left/>
      <right/>
      <top/>
      <bottom/>
      <diagonal/>
    </border>
  </borders>
  <cellStyleXfs count="1">
    <xf numFmtId="0" fontId="0" fillId="0" borderId="0"/>
  </cellStyleXfs>
  <cellXfs count="3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xf>
    <xf numFmtId="0" fontId="3" fillId="2" borderId="0" pivotButton="0" quotePrefix="0" xfId="0"/>
    <xf numFmtId="0" fontId="0" fillId="3" borderId="0" pivotButton="0" quotePrefix="0" xfId="0"/>
    <xf numFmtId="0" fontId="4" fillId="3" borderId="0" applyAlignment="1" pivotButton="0" quotePrefix="0" xfId="0">
      <alignment vertical="center"/>
    </xf>
    <xf numFmtId="0" fontId="3" fillId="2" borderId="0" applyAlignment="1" pivotButton="0" quotePrefix="0" xfId="0">
      <alignment vertical="center"/>
    </xf>
    <xf numFmtId="0" fontId="5" fillId="0" borderId="0" applyAlignment="1" pivotButton="0" quotePrefix="0" xfId="0">
      <alignment horizontal="left" vertical="center"/>
    </xf>
    <xf numFmtId="1" fontId="5" fillId="0" borderId="0" applyAlignment="1" pivotButton="0" quotePrefix="0" xfId="0">
      <alignment horizontal="right" vertical="center"/>
    </xf>
    <xf numFmtId="3" fontId="5" fillId="0" borderId="0" applyAlignment="1" pivotButton="0" quotePrefix="0" xfId="0">
      <alignment horizontal="right" vertical="center"/>
    </xf>
    <xf numFmtId="4" fontId="5" fillId="0" borderId="0" applyAlignment="1" pivotButton="0" quotePrefix="0" xfId="0">
      <alignment horizontal="right" vertical="center"/>
    </xf>
    <xf numFmtId="3" fontId="5" fillId="0" borderId="0" applyAlignment="1" pivotButton="0" quotePrefix="0" xfId="0">
      <alignment horizontal="left" vertical="center"/>
    </xf>
    <xf numFmtId="0" fontId="2" fillId="4" borderId="0" applyAlignment="1" pivotButton="0" quotePrefix="0" xfId="0">
      <alignment vertical="center"/>
    </xf>
    <xf numFmtId="0" fontId="2" fillId="5" borderId="0" applyAlignment="1" pivotButton="0" quotePrefix="0" xfId="0">
      <alignment vertical="center"/>
    </xf>
    <xf numFmtId="0" fontId="3" fillId="2" borderId="0" applyAlignment="1" pivotButton="0" quotePrefix="0" xfId="0">
      <alignment horizontal="right"/>
    </xf>
    <xf numFmtId="0" fontId="2" fillId="4" borderId="0" applyAlignment="1" pivotButton="0" quotePrefix="0" xfId="0">
      <alignment horizontal="right" vertical="center"/>
    </xf>
    <xf numFmtId="0" fontId="5" fillId="0" borderId="0" applyAlignment="1" pivotButton="0" quotePrefix="0" xfId="0">
      <alignment horizontal="right" vertical="center"/>
    </xf>
    <xf numFmtId="0" fontId="0" fillId="0" borderId="0" applyAlignment="1" pivotButton="0" quotePrefix="0" xfId="0">
      <alignment horizontal="right"/>
    </xf>
    <xf numFmtId="0" fontId="0" fillId="3" borderId="0" applyAlignment="1" pivotButton="0" quotePrefix="0" xfId="0">
      <alignment horizontal="right"/>
    </xf>
    <xf numFmtId="164" fontId="5" fillId="0" borderId="0" applyAlignment="1" pivotButton="0" quotePrefix="0" xfId="0">
      <alignment horizontal="right" vertical="center"/>
    </xf>
    <xf numFmtId="0" fontId="5" fillId="0" borderId="0" applyAlignment="1" pivotButton="0" quotePrefix="0" xfId="0">
      <alignment horizontal="left" vertical="center" wrapText="1"/>
    </xf>
    <xf numFmtId="0" fontId="6" fillId="0" borderId="0" pivotButton="0" quotePrefix="0" xfId="0"/>
    <xf numFmtId="0" fontId="7" fillId="2" borderId="0" applyAlignment="1" pivotButton="0" quotePrefix="0" xfId="0">
      <alignment horizontal="left"/>
    </xf>
    <xf numFmtId="0" fontId="7" fillId="2" borderId="0" pivotButton="0" quotePrefix="0" xfId="0"/>
    <xf numFmtId="0" fontId="8" fillId="0" borderId="0" applyAlignment="1" pivotButton="0" quotePrefix="0" xfId="0">
      <alignment horizontal="left"/>
    </xf>
    <xf numFmtId="1" fontId="8" fillId="0" borderId="0" applyAlignment="1" pivotButton="0" quotePrefix="0" xfId="0">
      <alignment horizontal="right"/>
    </xf>
    <xf numFmtId="3" fontId="8" fillId="0" borderId="0" applyAlignment="1" pivotButton="0" quotePrefix="0" xfId="0">
      <alignment horizontal="right"/>
    </xf>
    <xf numFmtId="4" fontId="8" fillId="0" borderId="0" applyAlignment="1" pivotButton="0" quotePrefix="0" xfId="0">
      <alignment horizontal="right"/>
    </xf>
    <xf numFmtId="0" fontId="2" fillId="6" borderId="0" applyAlignment="1" pivotButton="0" quotePrefix="0" xfId="0">
      <alignment horizontal="right" vertical="center"/>
    </xf>
    <xf numFmtId="3" fontId="8" fillId="0" borderId="0" applyAlignment="1" pivotButton="0" quotePrefix="0" xfId="0">
      <alignment horizontal="left"/>
    </xf>
    <xf numFmtId="0" fontId="7" fillId="2" borderId="0" applyAlignment="1" pivotButton="0" quotePrefix="0" xfId="0">
      <alignment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Right="0"/>
    <pageSetUpPr/>
  </sheetPr>
  <dimension ref="A1:AS342"/>
  <sheetViews>
    <sheetView showGridLines="0" tabSelected="1" topLeftCell="AC4" zoomScale="85" zoomScaleNormal="85" workbookViewId="0">
      <selection activeCell="AB6" sqref="AB6"/>
    </sheetView>
  </sheetViews>
  <sheetFormatPr baseColWidth="8" defaultColWidth="0" defaultRowHeight="15" customHeight="1" zeroHeight="1" outlineLevelRow="1"/>
  <cols>
    <col width="10.140625" customWidth="1" min="1" max="1"/>
    <col width="27.85546875" customWidth="1" min="2" max="2"/>
    <col width="64.5703125" bestFit="1" customWidth="1" min="3" max="3"/>
    <col width="17.7109375" customWidth="1" min="4" max="4"/>
    <col width="26.28515625" customWidth="1" min="5" max="5"/>
    <col width="42.140625" customWidth="1" min="6" max="6"/>
    <col width="14.42578125" customWidth="1" min="7" max="7"/>
    <col width="14.5703125" customWidth="1" min="8" max="8"/>
    <col width="16.28515625" customWidth="1" min="9" max="9"/>
    <col width="20.140625" customWidth="1" min="10" max="10"/>
    <col width="20.28515625" customWidth="1" min="11" max="11"/>
    <col width="20.7109375" customWidth="1" min="12" max="12"/>
    <col width="5.28515625" bestFit="1" customWidth="1" min="13" max="13"/>
    <col width="18.28515625" bestFit="1" customWidth="1" min="14" max="15"/>
    <col width="20.7109375" customWidth="1" min="16" max="19"/>
    <col width="20.140625" bestFit="1" customWidth="1" min="20" max="20"/>
    <col width="18.5703125" bestFit="1" customWidth="1" min="21" max="21"/>
    <col width="16.7109375" bestFit="1" customWidth="1" min="22" max="22"/>
    <col width="22.140625" bestFit="1" customWidth="1" min="23" max="23"/>
    <col width="20.28515625" bestFit="1" customWidth="1" min="24" max="24"/>
    <col width="18.5703125" bestFit="1" customWidth="1" min="25" max="25"/>
    <col width="22.42578125" bestFit="1" customWidth="1" min="26" max="26"/>
    <col width="24.140625" bestFit="1" customWidth="1" min="27" max="27"/>
    <col width="26.42578125" customWidth="1" min="28" max="28"/>
    <col width="47" bestFit="1" customWidth="1" min="29" max="29"/>
    <col width="42.28515625" bestFit="1" customWidth="1" min="30" max="30"/>
    <col width="34.5703125" bestFit="1" customWidth="1" min="31" max="31"/>
    <col width="46" bestFit="1" customWidth="1" min="32" max="32"/>
    <col width="9.140625" customWidth="1" min="33" max="33"/>
    <col hidden="1" width="9.140625" customWidth="1" min="34" max="16384"/>
  </cols>
  <sheetData>
    <row r="1" hidden="1" outlineLevel="1" ht="12.75" customHeight="1">
      <c r="A1" s="3" t="inlineStr">
        <is>
          <t>Company Details</t>
        </is>
      </c>
      <c r="B1" s="4" t="inlineStr">
        <is>
          <t>Company Details</t>
        </is>
      </c>
      <c r="C1" s="4" t="n"/>
      <c r="D1" s="4" t="n"/>
      <c r="E1" s="4" t="n"/>
      <c r="F1" s="4" t="n"/>
      <c r="G1" s="4" t="n"/>
      <c r="H1" s="4" t="n"/>
      <c r="I1" s="4" t="n"/>
      <c r="J1" s="4" t="n"/>
      <c r="K1" s="4" t="n"/>
      <c r="L1" s="4" t="n"/>
      <c r="M1" s="4" t="n"/>
      <c r="N1" s="15" t="n"/>
      <c r="O1" s="15" t="n"/>
      <c r="P1" s="15" t="n"/>
      <c r="Q1" s="15" t="n"/>
      <c r="R1" s="15" t="n"/>
      <c r="S1" s="15" t="n"/>
      <c r="T1" s="4" t="inlineStr">
        <is>
          <t>Company Details</t>
        </is>
      </c>
      <c r="U1" s="4" t="inlineStr">
        <is>
          <t>Company Details</t>
        </is>
      </c>
      <c r="V1" s="4" t="inlineStr">
        <is>
          <t>Company Details</t>
        </is>
      </c>
      <c r="W1" s="4" t="inlineStr">
        <is>
          <t>Size Metrics</t>
        </is>
      </c>
      <c r="X1" s="4" t="inlineStr">
        <is>
          <t>Financials</t>
        </is>
      </c>
      <c r="Y1" s="4" t="inlineStr">
        <is>
          <t>Company Details</t>
        </is>
      </c>
      <c r="Z1" s="4" t="inlineStr">
        <is>
          <t>Company Details</t>
        </is>
      </c>
      <c r="AA1" s="4" t="inlineStr">
        <is>
          <t>Financials</t>
        </is>
      </c>
      <c r="AB1" s="4" t="inlineStr">
        <is>
          <t>Company Details</t>
        </is>
      </c>
      <c r="AC1" s="4" t="inlineStr">
        <is>
          <t>Industry</t>
        </is>
      </c>
      <c r="AD1" s="4" t="inlineStr">
        <is>
          <t>Industry</t>
        </is>
      </c>
      <c r="AE1" s="4" t="inlineStr">
        <is>
          <t>Industry</t>
        </is>
      </c>
      <c r="AF1" s="4" t="inlineStr">
        <is>
          <t>Industry</t>
        </is>
      </c>
    </row>
    <row r="2" hidden="1" outlineLevel="1" ht="12.75" customHeight="1">
      <c r="A2" s="3" t="inlineStr">
        <is>
          <t>Company Details</t>
        </is>
      </c>
      <c r="B2" s="4" t="inlineStr">
        <is>
          <t>Company Details</t>
        </is>
      </c>
      <c r="C2" s="4" t="n"/>
      <c r="D2" s="4" t="n"/>
      <c r="E2" s="4" t="n"/>
      <c r="F2" s="4" t="n"/>
      <c r="G2" s="4" t="n"/>
      <c r="H2" s="4" t="n"/>
      <c r="I2" s="4" t="n"/>
      <c r="J2" s="4" t="n"/>
      <c r="K2" s="4" t="n"/>
      <c r="L2" s="4" t="n"/>
      <c r="M2" s="4" t="n"/>
      <c r="N2" s="15" t="n"/>
      <c r="O2" s="15" t="n"/>
      <c r="P2" s="15" t="n"/>
      <c r="Q2" s="15" t="n"/>
      <c r="R2" s="15" t="n"/>
      <c r="S2" s="15" t="n"/>
      <c r="T2" s="4" t="inlineStr">
        <is>
          <t>Company Details</t>
        </is>
      </c>
      <c r="U2" s="4" t="inlineStr">
        <is>
          <t>Company Location</t>
        </is>
      </c>
      <c r="V2" s="4" t="inlineStr">
        <is>
          <t>Company Details</t>
        </is>
      </c>
      <c r="W2" s="4" t="inlineStr">
        <is>
          <t>Size Metrics</t>
        </is>
      </c>
      <c r="X2" s="4" t="inlineStr">
        <is>
          <t>Income Statement</t>
        </is>
      </c>
      <c r="Y2" s="4" t="inlineStr">
        <is>
          <t>Company Location</t>
        </is>
      </c>
      <c r="Z2" s="4" t="inlineStr">
        <is>
          <t>Company Location</t>
        </is>
      </c>
      <c r="AA2" s="4" t="inlineStr">
        <is>
          <t>Balance Sheet</t>
        </is>
      </c>
      <c r="AB2" s="4" t="inlineStr">
        <is>
          <t>Company Details</t>
        </is>
      </c>
      <c r="AC2" s="4" t="inlineStr">
        <is>
          <t>Industry Company Details</t>
        </is>
      </c>
      <c r="AD2" s="4" t="inlineStr">
        <is>
          <t>Industry Company Details</t>
        </is>
      </c>
      <c r="AE2" s="4" t="inlineStr">
        <is>
          <t>Industry Company Details</t>
        </is>
      </c>
      <c r="AF2" s="4" t="inlineStr">
        <is>
          <t>Industry Company Details</t>
        </is>
      </c>
    </row>
    <row r="3" hidden="1" outlineLevel="1" ht="12.75" customHeight="1">
      <c r="A3" s="3" t="n"/>
      <c r="B3" s="4" t="n"/>
      <c r="C3" s="4" t="n"/>
      <c r="D3" s="4" t="n"/>
      <c r="E3" s="4" t="n"/>
      <c r="F3" s="4" t="n"/>
      <c r="G3" s="4" t="n"/>
      <c r="H3" s="4" t="n"/>
      <c r="I3" s="4" t="n"/>
      <c r="J3" s="4" t="n"/>
      <c r="K3" s="4" t="n"/>
      <c r="L3" s="4" t="n"/>
      <c r="M3" s="4" t="n"/>
      <c r="N3" s="15" t="n"/>
      <c r="O3" s="15" t="n"/>
      <c r="P3" s="15" t="n"/>
      <c r="Q3" s="15" t="n"/>
      <c r="R3" s="15" t="n"/>
      <c r="S3" s="15" t="n"/>
      <c r="T3" s="4" t="n"/>
      <c r="U3" s="4" t="n"/>
      <c r="V3" s="4" t="n"/>
      <c r="W3" s="4" t="n"/>
      <c r="X3" s="4" t="n"/>
      <c r="Y3" s="4" t="n"/>
      <c r="Z3" s="4" t="n"/>
      <c r="AA3" s="4" t="n"/>
      <c r="AB3" s="4" t="n"/>
      <c r="AC3" s="4" t="inlineStr">
        <is>
          <t>Primary RBICS</t>
        </is>
      </c>
      <c r="AD3" s="4" t="inlineStr">
        <is>
          <t>Primary RBICS</t>
        </is>
      </c>
      <c r="AE3" s="4" t="inlineStr">
        <is>
          <t>Primary RBICS</t>
        </is>
      </c>
      <c r="AF3" s="4" t="inlineStr">
        <is>
          <t>Primary RBICS</t>
        </is>
      </c>
    </row>
    <row r="4" collapsed="1" ht="12.75" customHeight="1">
      <c r="A4" s="7" t="inlineStr">
        <is>
          <t>Identifier</t>
        </is>
      </c>
      <c r="B4" s="7" t="inlineStr">
        <is>
          <t>Name</t>
        </is>
      </c>
      <c r="C4" s="14" t="inlineStr">
        <is>
          <t>Propose to Include?</t>
        </is>
      </c>
      <c r="D4" s="14" t="inlineStr">
        <is>
          <t>Outreach</t>
        </is>
      </c>
      <c r="E4" s="14" t="inlineStr">
        <is>
          <t>Identified Contact</t>
        </is>
      </c>
      <c r="F4" s="14" t="inlineStr">
        <is>
          <t>Status</t>
        </is>
      </c>
      <c r="G4" s="13" t="inlineStr">
        <is>
          <t>Connect4 Data</t>
        </is>
      </c>
      <c r="H4" s="13" t="inlineStr">
        <is>
          <t>IBISworld Data</t>
        </is>
      </c>
      <c r="I4" s="13" t="inlineStr">
        <is>
          <t>MarketLine Data</t>
        </is>
      </c>
      <c r="J4" s="13" t="inlineStr">
        <is>
          <t>ANZREU Purchases?</t>
        </is>
      </c>
      <c r="K4" s="13" t="inlineStr">
        <is>
          <t>Reported Emissions</t>
        </is>
      </c>
      <c r="L4" s="13" t="inlineStr">
        <is>
          <t>Project Classification</t>
        </is>
      </c>
      <c r="M4" s="13" t="inlineStr">
        <is>
          <t>Year</t>
        </is>
      </c>
      <c r="N4" s="16" t="inlineStr">
        <is>
          <t>Reported - Scope 1</t>
        </is>
      </c>
      <c r="O4" s="16" t="inlineStr">
        <is>
          <t>Reported - Scope 2</t>
        </is>
      </c>
      <c r="P4" s="16" t="inlineStr">
        <is>
          <t>CER 2023-24 Scope 1</t>
        </is>
      </c>
      <c r="Q4" s="16" t="inlineStr">
        <is>
          <t>CER 2023-24 Scope 2</t>
        </is>
      </c>
      <c r="R4" s="29" t="inlineStr">
        <is>
          <t>EBITDA (MM) (AUD)</t>
        </is>
      </c>
      <c r="S4" s="29" t="inlineStr">
        <is>
          <t>Net Income (MM) (AUD)</t>
        </is>
      </c>
      <c r="T4" s="7" t="inlineStr">
        <is>
          <t>Company Type Main</t>
        </is>
      </c>
      <c r="U4" s="7" t="inlineStr">
        <is>
          <t>Company Country</t>
        </is>
      </c>
      <c r="V4" s="7" t="inlineStr">
        <is>
          <t>Year Founded</t>
        </is>
      </c>
      <c r="W4" s="7" t="inlineStr">
        <is>
          <t>Number of Employees</t>
        </is>
      </c>
      <c r="X4" s="7" t="inlineStr">
        <is>
          <t>Revenue (MM) (AUD)</t>
        </is>
      </c>
      <c r="Y4" s="7" t="inlineStr">
        <is>
          <t>Company Region</t>
        </is>
      </c>
      <c r="Z4" s="7" t="inlineStr">
        <is>
          <t>Company State</t>
        </is>
      </c>
      <c r="AA4" s="7" t="inlineStr">
        <is>
          <t>Total Assets (MM) (AUD)</t>
        </is>
      </c>
      <c r="AB4" s="7" t="inlineStr">
        <is>
          <t>Business Description</t>
        </is>
      </c>
      <c r="AC4" s="7" t="inlineStr">
        <is>
          <t>Primary FactSet RBICS Industry Group</t>
        </is>
      </c>
      <c r="AD4" s="7" t="inlineStr">
        <is>
          <t>Primary FactSet RBICS Sub Sector</t>
        </is>
      </c>
      <c r="AE4" s="7" t="inlineStr">
        <is>
          <t>Primary FactSet RBICS Sector</t>
        </is>
      </c>
      <c r="AF4" s="7" t="inlineStr">
        <is>
          <t>Primary FactSet RBICS Industry</t>
        </is>
      </c>
      <c r="AH4" t="inlineStr">
        <is>
          <t>Extracted Scope 1 (kgCO2e)</t>
        </is>
      </c>
      <c r="AI4" t="inlineStr">
        <is>
          <t>Scope 1 Confidence</t>
        </is>
      </c>
      <c r="AJ4" t="inlineStr">
        <is>
          <t>Scope 1 Context</t>
        </is>
      </c>
      <c r="AK4" t="inlineStr">
        <is>
          <t>Extracted Scope 2 (kgCO2e)</t>
        </is>
      </c>
      <c r="AL4" t="inlineStr">
        <is>
          <t>Scope 2 Confidence</t>
        </is>
      </c>
      <c r="AM4" t="inlineStr">
        <is>
          <t>Scope 2 Context</t>
        </is>
      </c>
      <c r="AN4" t="inlineStr">
        <is>
          <t>Extracted Scope 3 (kgCO2e)</t>
        </is>
      </c>
      <c r="AO4" t="inlineStr">
        <is>
          <t>Scope 3 Confidence</t>
        </is>
      </c>
      <c r="AP4" t="inlineStr">
        <is>
          <t>Scope 3 Context</t>
        </is>
      </c>
      <c r="AQ4" t="inlineStr">
        <is>
          <t>Net Zero Mentions</t>
        </is>
      </c>
      <c r="AR4" t="inlineStr">
        <is>
          <t>Profitability Ratio</t>
        </is>
      </c>
      <c r="AS4" t="inlineStr">
        <is>
          <t>Reputational Concern Ratio</t>
        </is>
      </c>
    </row>
    <row r="5" ht="15" customHeight="1">
      <c r="A5" s="8" t="n"/>
      <c r="B5" s="8" t="inlineStr">
        <is>
          <t>Nestle</t>
        </is>
      </c>
      <c r="C5" s="8" t="n"/>
      <c r="D5" s="8" t="inlineStr">
        <is>
          <t>AC</t>
        </is>
      </c>
      <c r="E5" s="8" t="n"/>
      <c r="F5" s="8" t="inlineStr">
        <is>
          <t>Agreed to interview.</t>
        </is>
      </c>
      <c r="G5" s="8" t="n"/>
      <c r="H5" s="8" t="n"/>
      <c r="I5" s="8" t="n"/>
      <c r="J5" s="8" t="n"/>
      <c r="K5" s="8" t="n"/>
      <c r="L5" s="8" t="n"/>
      <c r="M5" s="8" t="n"/>
      <c r="N5" s="17" t="n"/>
      <c r="O5" s="17" t="n"/>
      <c r="P5" s="10" t="n"/>
      <c r="Q5" s="10" t="n"/>
      <c r="R5" s="10">
        <f>IFERROR(_xlfn.XLOOKUP($A5,Profitability!$A$5:$A$342,Profitability!$Q$5:$Q$342),"na")</f>
        <v/>
      </c>
      <c r="S5" s="10">
        <f>IFERROR(_xlfn.XLOOKUP($A5,Profitability!$A$5:$A$342,Profitability!$R$5:$R$342),"na")</f>
        <v/>
      </c>
      <c r="T5" s="8" t="n"/>
      <c r="U5" s="8" t="n"/>
      <c r="V5" s="9" t="n"/>
      <c r="W5" s="10" t="n"/>
      <c r="X5" s="11" t="n"/>
      <c r="Y5" s="8" t="n"/>
      <c r="Z5" s="8" t="n"/>
      <c r="AA5" s="11" t="n"/>
      <c r="AB5" s="8" t="n"/>
      <c r="AC5" s="8" t="n"/>
      <c r="AD5" s="8" t="n"/>
      <c r="AE5" s="8" t="n"/>
      <c r="AF5" s="12" t="n"/>
    </row>
    <row r="6" ht="15" customHeight="1">
      <c r="A6" s="8" t="inlineStr">
        <is>
          <t>WDS-AU</t>
        </is>
      </c>
      <c r="B6" s="8" t="inlineStr">
        <is>
          <t>Woodside Energy Group Ltd.</t>
        </is>
      </c>
      <c r="C6" s="8" t="n"/>
      <c r="D6" s="8" t="inlineStr">
        <is>
          <t>KH</t>
        </is>
      </c>
      <c r="E6" s="8" t="inlineStr">
        <is>
          <t>Harold Yap</t>
        </is>
      </c>
      <c r="F6" s="21" t="inlineStr">
        <is>
          <t>Agreed to questionnaire.</t>
        </is>
      </c>
      <c r="G6" s="8" t="n"/>
      <c r="H6" s="8" t="n"/>
      <c r="I6" s="8" t="n"/>
      <c r="J6" s="8" t="n"/>
      <c r="K6" s="8" t="n"/>
      <c r="L6" s="8" t="n"/>
      <c r="M6" s="8" t="n"/>
      <c r="N6" s="17" t="n"/>
      <c r="O6" s="17" t="n"/>
      <c r="P6" s="10" t="n">
        <v>8421985</v>
      </c>
      <c r="Q6" s="10" t="n">
        <v>5330</v>
      </c>
      <c r="R6" s="10">
        <f>IFERROR(_xlfn.XLOOKUP($A6,Profitability!$A$5:$A$342,Profitability!$Q$5:$Q$342),"na")</f>
        <v/>
      </c>
      <c r="S6" s="10">
        <f>IFERROR(_xlfn.XLOOKUP($A6,Profitability!$A$5:$A$342,Profitability!$R$5:$R$342),"na")</f>
        <v/>
      </c>
      <c r="T6" s="8" t="inlineStr">
        <is>
          <t>Public</t>
        </is>
      </c>
      <c r="U6" s="8" t="inlineStr">
        <is>
          <t>Australia</t>
        </is>
      </c>
      <c r="V6" s="9" t="n">
        <v>1971</v>
      </c>
      <c r="W6" s="10" t="n">
        <v>4718</v>
      </c>
      <c r="X6" s="11" t="n">
        <v>21202.2741469143</v>
      </c>
      <c r="Y6" s="8" t="inlineStr">
        <is>
          <t>Pacific</t>
        </is>
      </c>
      <c r="Z6" s="8" t="inlineStr">
        <is>
          <t>Western Australia (WA)</t>
        </is>
      </c>
      <c r="AA6" s="11" t="n">
        <v>98948.5554389163</v>
      </c>
      <c r="AB6" s="8" t="inlineStr">
        <is>
          <t>Woodside Energy Group Ltd. engages in the exploration, evaluation, development, and production of hydrocarbon and oil and gas properties. It operates through the following segments: North West Shelf, Pluto, Australia Oil, Wheatstone, Development, and Others. The North West Shelf segment produces liquefied natural gas, pipeline natural gas, condensate, liquefied petroleum gas and crude oil from the North West Shelf ventures. The Pluto segment develops liquefied natural gas in assigned permit areas. The Australia Oil segment is involved in the exploration, evaluation, development, production and sale of crude oil in assigned permit areas. The Wheatstone segment is involved in the exploration, evaluation, and development of liquefied natural gas, pipeline natural gas, and condensate. The Development segment includes the exploration of gas resources in Scarborough, Sangomar, and other project areas. The Other segment is composed of the activities undertaken by exploration, international and Sunrise Business Units. The company was founded on July 26, 1954 and is headquartered in Perth, Australia.</t>
        </is>
      </c>
      <c r="AC6" s="8" t="inlineStr">
        <is>
          <t>Other Fossil Fuel Exploration and Production</t>
        </is>
      </c>
      <c r="AD6" s="8" t="inlineStr">
        <is>
          <t>Fossil Fuel Exploration and Production</t>
        </is>
      </c>
      <c r="AE6" s="8" t="inlineStr">
        <is>
          <t>Upstream Energy</t>
        </is>
      </c>
      <c r="AF6" s="12" t="inlineStr">
        <is>
          <t>Asia/Pacific Fossil Fuel Exploration/Production</t>
        </is>
      </c>
      <c r="AH6" t="n">
        <v>5437000</v>
      </c>
      <c r="AI6" t="n">
        <v>0.9</v>
      </c>
      <c r="AJ6">
        <f>== Table 4 (page 5) ===
HIGHLIGHTS,CONFIDENCE IN LNG,SCOPE 1 AND 2,NEW ENERGY</f>
        <v/>
      </c>
      <c r="AK6" t="n">
        <v>6320000</v>
      </c>
      <c r="AL6" t="n">
        <v>0.9</v>
      </c>
      <c r="AM6" t="inlineStr">
        <is>
          <t>,"compared to historical and/or current conventions or analogues, for example relating to an otherwise similar resource, process,",,
,,Starting base,Woodside uses a starting base of 6.32 Mt CO2-e which is representative of the gross annual average equity Scope 1 and 2
,"production facility, product or service, or activity. When applied to Woodside's strategy, please see the definition of lower-carbon",,greenhouse gas emissions over 2016-2020 and which may be adjusted (up or down) for potential equity changes in producing</t>
        </is>
      </c>
      <c r="AN6" t="n">
        <v>3000</v>
      </c>
      <c r="AO6" t="n">
        <v>0.9</v>
      </c>
      <c r="AP6" t="inlineStr">
        <is>
          <t>,methane emissions benchmarks.,
•  This is reinforced by firm demand side commitments to,,Scope 3 targets.18
"offtake, with over 15 Mt of LNG contracted to Asian buyers",•  We are pursuing emissions reduction opportunities and,</t>
        </is>
      </c>
      <c r="AQ6" t="n">
        <v>8</v>
      </c>
      <c r="AR6" t="n">
        <v>0.255488</v>
      </c>
      <c r="AS6" t="n">
        <v>0.000377</v>
      </c>
    </row>
    <row r="7" ht="15" customHeight="1">
      <c r="A7" s="8" t="inlineStr">
        <is>
          <t>BHP-AU</t>
        </is>
      </c>
      <c r="B7" s="8" t="inlineStr">
        <is>
          <t>BHP Group Ltd.</t>
        </is>
      </c>
      <c r="C7" s="8" t="n"/>
      <c r="D7" s="8" t="inlineStr">
        <is>
          <t>KH</t>
        </is>
      </c>
      <c r="E7" s="8" t="inlineStr">
        <is>
          <t>Tom McKeon</t>
        </is>
      </c>
      <c r="F7" s="8" t="inlineStr">
        <is>
          <t>Invitation sent</t>
        </is>
      </c>
      <c r="G7" s="8" t="n"/>
      <c r="H7" s="8" t="n"/>
      <c r="I7" s="8" t="n"/>
      <c r="J7" s="8" t="n"/>
      <c r="K7" s="8" t="n"/>
      <c r="L7" s="8" t="n"/>
      <c r="M7" s="8" t="n">
        <v>2025</v>
      </c>
      <c r="N7" s="20">
        <f>7.4*10^6</f>
        <v/>
      </c>
      <c r="O7" s="20">
        <f>1.3*10^6</f>
        <v/>
      </c>
      <c r="P7" s="10" t="n">
        <v>3698759</v>
      </c>
      <c r="Q7" s="10" t="n">
        <v>1314290</v>
      </c>
      <c r="R7" s="10">
        <f>IFERROR(_xlfn.XLOOKUP($A7,Profitability!$A$5:$A$342,Profitability!$Q$5:$Q$342),"na")</f>
        <v/>
      </c>
      <c r="S7" s="10">
        <f>IFERROR(_xlfn.XLOOKUP($A7,Profitability!$A$5:$A$342,Profitability!$R$5:$R$342),"na")</f>
        <v/>
      </c>
      <c r="T7" s="8" t="inlineStr">
        <is>
          <t>Public</t>
        </is>
      </c>
      <c r="U7" s="8" t="inlineStr">
        <is>
          <t>Australia</t>
        </is>
      </c>
      <c r="V7" s="9" t="n">
        <v>1885</v>
      </c>
      <c r="W7" s="10" t="inlineStr">
        <is>
          <t>-</t>
        </is>
      </c>
      <c r="X7" s="11" t="n">
        <v>79153.0992779189</v>
      </c>
      <c r="Y7" s="8" t="inlineStr">
        <is>
          <t>Pacific</t>
        </is>
      </c>
      <c r="Z7" s="8" t="inlineStr">
        <is>
          <t>Victoria (VIC)</t>
        </is>
      </c>
      <c r="AA7" s="11" t="n">
        <v>166002.903305554</v>
      </c>
      <c r="AB7" s="8" t="inlineStr">
        <is>
          <t>BHP Group Ltd. engages in the exploration, development, production and processing of iron ore, metallurgical coal, and copper. It operates through the following segments: Copper, Iron Ore, and Coal. The Copper segment refers to the mining of copper, silver, lead, zinc, molybdenum, uranium, and gold. The Iron Ore segment involves in the mining of iron ore. The Coal segment focuses on metallurgical coal and energy coal. The company was founded on August 13, 1885 and is headquartered in Melbourne, Australia.</t>
        </is>
      </c>
      <c r="AC7" s="8" t="inlineStr">
        <is>
          <t>Base Metal Mining</t>
        </is>
      </c>
      <c r="AD7" s="8" t="inlineStr">
        <is>
          <t>Metal Ore Mining</t>
        </is>
      </c>
      <c r="AE7" s="8" t="inlineStr">
        <is>
          <t>Mining and Mineral Products</t>
        </is>
      </c>
      <c r="AF7" s="12" t="inlineStr">
        <is>
          <t>Other Base Metal Ore Mining</t>
        </is>
      </c>
      <c r="AH7" t="n">
        <v>7400000</v>
      </c>
      <c r="AI7" t="n">
        <v>1</v>
      </c>
      <c r="AJ7" t="inlineStr">
        <is>
          <t>,,FY2025,FY2024,FY2023
Total,Scope 1 emissions,7.4,8.1,8.0
operations,,,,</t>
        </is>
      </c>
      <c r="AK7" t="n">
        <v>1300000</v>
      </c>
      <c r="AL7" t="n">
        <v>1</v>
      </c>
      <c r="AM7" t="inlineStr">
        <is>
          <t>line with its strategy and risk management process,,,,
"b)  Disclose Scope 1, Scope 2, and, if appropriate,",Pages 48 to 53,–,–,–
"Scope 3 GHG emissions, and the related risks",,,,</t>
        </is>
      </c>
      <c r="AN7" t="n">
        <v>378200000</v>
      </c>
      <c r="AO7" t="n">
        <v>1</v>
      </c>
      <c r="AP7" t="inlineStr">
        <is>
          <t>3.7"
Total Scope 3 emissions,"378.2
377.7</t>
        </is>
      </c>
      <c r="AQ7" t="n">
        <v>98</v>
      </c>
      <c r="AR7" t="n">
        <v>0.175939</v>
      </c>
      <c r="AS7" t="n">
        <v>0.001238</v>
      </c>
    </row>
    <row r="8" ht="15" customHeight="1">
      <c r="A8" s="8" t="inlineStr">
        <is>
          <t>MIN-AU</t>
        </is>
      </c>
      <c r="B8" s="8" t="inlineStr">
        <is>
          <t>Mineral Resources Ltd.</t>
        </is>
      </c>
      <c r="C8" s="8" t="n"/>
      <c r="D8" s="8" t="inlineStr">
        <is>
          <t>KH</t>
        </is>
      </c>
      <c r="E8" s="8" t="inlineStr">
        <is>
          <t>Laurren Duncan</t>
        </is>
      </c>
      <c r="F8" s="8" t="inlineStr">
        <is>
          <t>Invitation sent</t>
        </is>
      </c>
      <c r="G8" s="8" t="n"/>
      <c r="H8" s="8" t="n"/>
      <c r="I8" s="8" t="n"/>
      <c r="J8" s="8" t="n"/>
      <c r="K8" s="8" t="n"/>
      <c r="L8" s="8" t="n"/>
      <c r="M8" s="8" t="n"/>
      <c r="N8" s="17" t="n"/>
      <c r="O8" s="17" t="n"/>
      <c r="P8" s="10" t="n">
        <v>704979</v>
      </c>
      <c r="Q8" s="10" t="n">
        <v>11055</v>
      </c>
      <c r="R8" s="10">
        <f>IFERROR(_xlfn.XLOOKUP($A8,Profitability!$A$5:$A$342,Profitability!$Q$5:$Q$342),"na")</f>
        <v/>
      </c>
      <c r="S8" s="10">
        <f>IFERROR(_xlfn.XLOOKUP($A8,Profitability!$A$5:$A$342,Profitability!$R$5:$R$342),"na")</f>
        <v/>
      </c>
      <c r="T8" s="8" t="inlineStr">
        <is>
          <t>Public</t>
        </is>
      </c>
      <c r="U8" s="8" t="inlineStr">
        <is>
          <t>Australia</t>
        </is>
      </c>
      <c r="V8" s="9" t="n">
        <v>2006</v>
      </c>
      <c r="W8" s="10" t="n">
        <v>8456</v>
      </c>
      <c r="X8" s="11" t="n">
        <v>4472</v>
      </c>
      <c r="Y8" s="8" t="inlineStr">
        <is>
          <t>Pacific</t>
        </is>
      </c>
      <c r="Z8" s="8" t="inlineStr">
        <is>
          <t>Western Australia (WA)</t>
        </is>
      </c>
      <c r="AA8" s="11" t="n">
        <v>11927.000293959</v>
      </c>
      <c r="AB8" s="8" t="inlineStr">
        <is>
          <t>Mineral Resources Ltd. engages in mining and processing of mineral properties. The firm operates through the following segments: Mining Services, Iron Ore, Energy, Lithium, Other Commodities, and Central. It offers contract crushing, infrastructure, and recovery of base metals concentrate. The company was founded by Christopher J. Ellison on February 27, 2006, and is headquartered in Perth, Australia.</t>
        </is>
      </c>
      <c r="AC8" s="8" t="inlineStr">
        <is>
          <t>Base Metal Mining</t>
        </is>
      </c>
      <c r="AD8" s="8" t="inlineStr">
        <is>
          <t>Metal Ore Mining</t>
        </is>
      </c>
      <c r="AE8" s="8" t="inlineStr">
        <is>
          <t>Mining and Mineral Products</t>
        </is>
      </c>
      <c r="AF8" s="12" t="inlineStr">
        <is>
          <t>Other Base Metal Ore Mining</t>
        </is>
      </c>
      <c r="AH8" t="n">
        <v>731084</v>
      </c>
      <c r="AI8" t="n">
        <v>1</v>
      </c>
      <c r="AJ8" t="inlineStr">
        <is>
          <t>Total Scope 1 GHG emissions (tCO2-e),"731,084"</t>
        </is>
      </c>
      <c r="AK8" t="n">
        <v>150947</v>
      </c>
      <c r="AL8" t="n">
        <v>1</v>
      </c>
      <c r="AM8" t="inlineStr">
        <is>
          <t>High Impact Environmental Incidents (Level 4 and,
,0
above),</t>
        </is>
      </c>
      <c r="AQ8" t="n">
        <v>23</v>
      </c>
      <c r="AR8" t="n">
        <v>-0.202147</v>
      </c>
      <c r="AS8" t="n">
        <v>0.005143</v>
      </c>
    </row>
    <row r="9" ht="15" customHeight="1">
      <c r="A9" s="8" t="inlineStr">
        <is>
          <t>LTR-AU</t>
        </is>
      </c>
      <c r="B9" s="8" t="inlineStr">
        <is>
          <t>Liontown Resources Ltd.</t>
        </is>
      </c>
      <c r="C9" s="8" t="n"/>
      <c r="D9" s="8" t="inlineStr">
        <is>
          <t>KH</t>
        </is>
      </c>
      <c r="E9" s="8" t="inlineStr">
        <is>
          <t>Secondary only. Requested.</t>
        </is>
      </c>
      <c r="F9" s="8" t="inlineStr">
        <is>
          <t>Invitation sent</t>
        </is>
      </c>
      <c r="G9" s="8" t="n"/>
      <c r="H9" s="8" t="n"/>
      <c r="I9" s="8" t="n"/>
      <c r="J9" s="8" t="n"/>
      <c r="K9" s="8" t="n"/>
      <c r="L9" s="8" t="n"/>
      <c r="M9" s="8" t="n"/>
      <c r="N9" s="17" t="n"/>
      <c r="O9" s="17" t="n"/>
      <c r="P9" s="17" t="n"/>
      <c r="Q9" s="17" t="n"/>
      <c r="R9" s="10">
        <f>IFERROR(_xlfn.XLOOKUP($A9,Profitability!$A$5:$A$342,Profitability!$Q$5:$Q$342),"na")</f>
        <v/>
      </c>
      <c r="S9" s="10">
        <f>IFERROR(_xlfn.XLOOKUP($A9,Profitability!$A$5:$A$342,Profitability!$R$5:$R$342),"na")</f>
        <v/>
      </c>
      <c r="T9" s="8" t="inlineStr">
        <is>
          <t>Public</t>
        </is>
      </c>
      <c r="U9" s="8" t="inlineStr">
        <is>
          <t>Australia</t>
        </is>
      </c>
      <c r="V9" s="9" t="n">
        <v>2006</v>
      </c>
      <c r="W9" s="10" t="inlineStr">
        <is>
          <t>-</t>
        </is>
      </c>
      <c r="X9" s="11" t="n">
        <v>0</v>
      </c>
      <c r="Y9" s="8" t="inlineStr">
        <is>
          <t>Pacific</t>
        </is>
      </c>
      <c r="Z9" s="8" t="inlineStr">
        <is>
          <t>Western Australia (WA)</t>
        </is>
      </c>
      <c r="AA9" s="11" t="n">
        <v>1384.92398952466</v>
      </c>
      <c r="AB9" s="8" t="inlineStr">
        <is>
          <t>Liontown Resources Ltd. engages in the exploration and evaluation of minerals. Its projects include Kathleen Valley, Buldania, Moora Gold-PGE-Ni-Cu, and Toolebuc. The company was founded on February 2, 2006 and is headquartered in West Perth, Australia.</t>
        </is>
      </c>
      <c r="AC9" s="8" t="inlineStr">
        <is>
          <t>Base Metal Mining</t>
        </is>
      </c>
      <c r="AD9" s="8" t="inlineStr">
        <is>
          <t>Metal Ore Mining</t>
        </is>
      </c>
      <c r="AE9" s="8" t="inlineStr">
        <is>
          <t>Mining and Mineral Products</t>
        </is>
      </c>
      <c r="AF9" s="12" t="inlineStr">
        <is>
          <t>Lithium Ore Mining</t>
        </is>
      </c>
      <c r="AH9" t="n">
        <v>35822</v>
      </c>
      <c r="AI9" t="n">
        <v>0.9</v>
      </c>
      <c r="AJ9" t="inlineStr">
        <is>
          <t>Scope 1,tCO2-e,"35,822.02","41,605.88"</t>
        </is>
      </c>
      <c r="AK9" t="n">
        <v>9276</v>
      </c>
      <c r="AL9" t="n">
        <v>0.9</v>
      </c>
      <c r="AM9" t="inlineStr">
        <is>
          <t>Scope 2,tCO2-e,"9,217.31","1,891.67"</t>
        </is>
      </c>
      <c r="AN9" t="n">
        <v>0</v>
      </c>
      <c r="AQ9" t="n">
        <v>0</v>
      </c>
    </row>
    <row r="10" ht="15" customHeight="1">
      <c r="A10" s="8" t="inlineStr">
        <is>
          <t>WHC-AU</t>
        </is>
      </c>
      <c r="B10" s="8" t="inlineStr">
        <is>
          <t>Whitehaven Coal Ltd.</t>
        </is>
      </c>
      <c r="C10" s="8" t="n"/>
      <c r="D10" s="8" t="inlineStr">
        <is>
          <t>KH</t>
        </is>
      </c>
      <c r="E10" s="8" t="inlineStr">
        <is>
          <t>Secondary only. Requested.</t>
        </is>
      </c>
      <c r="F10" s="8" t="inlineStr">
        <is>
          <t>Invitation sent</t>
        </is>
      </c>
      <c r="G10" s="8" t="n"/>
      <c r="H10" s="8" t="n"/>
      <c r="I10" s="8" t="n"/>
      <c r="J10" s="8" t="n"/>
      <c r="K10" s="8" t="n"/>
      <c r="L10" s="8" t="n"/>
      <c r="M10" s="8" t="n"/>
      <c r="N10" s="17" t="n"/>
      <c r="O10" s="17" t="n"/>
      <c r="P10" s="10" t="n">
        <v>1228004</v>
      </c>
      <c r="Q10" s="10" t="n">
        <v>137673</v>
      </c>
      <c r="R10" s="10">
        <f>IFERROR(_xlfn.XLOOKUP($A10,Profitability!$A$5:$A$342,Profitability!$Q$5:$Q$342),"na")</f>
        <v/>
      </c>
      <c r="S10" s="10">
        <f>IFERROR(_xlfn.XLOOKUP($A10,Profitability!$A$5:$A$342,Profitability!$R$5:$R$342),"na")</f>
        <v/>
      </c>
      <c r="T10" s="8" t="inlineStr">
        <is>
          <t>Public</t>
        </is>
      </c>
      <c r="U10" s="8" t="inlineStr">
        <is>
          <t>Australia</t>
        </is>
      </c>
      <c r="V10" s="9" t="n">
        <v>2007</v>
      </c>
      <c r="W10" s="10" t="inlineStr">
        <is>
          <t>-</t>
        </is>
      </c>
      <c r="X10" s="11" t="n">
        <v>5832</v>
      </c>
      <c r="Y10" s="8" t="inlineStr">
        <is>
          <t>Pacific</t>
        </is>
      </c>
      <c r="Z10" s="8" t="inlineStr">
        <is>
          <t>New South Wales (NSW)</t>
        </is>
      </c>
      <c r="AA10" s="11" t="n">
        <v>12227.000301353</v>
      </c>
      <c r="AB10" s="8" t="inlineStr">
        <is>
          <t>Whitehaven Coal Ltd. engages in the development and operation of coal mines. The firm operates through the following segments: Open Cut Operations and Underground Operations. Its projects include Canyon, Maules Creek, Narrabri North, Rocglen, Sunnyside, Tarrawonga, Vickery, Werris Creek and Other Projects. The company was founded by Keith Ross in 1999 and is headquartered in Sydney, Australia.</t>
        </is>
      </c>
      <c r="AC10" s="8" t="inlineStr">
        <is>
          <t>Asia/Pacific International Coal Mining</t>
        </is>
      </c>
      <c r="AD10" s="8" t="inlineStr">
        <is>
          <t>Coal and Uranium Mining</t>
        </is>
      </c>
      <c r="AE10" s="8" t="inlineStr">
        <is>
          <t>Upstream Energy</t>
        </is>
      </c>
      <c r="AF10" s="12" t="inlineStr">
        <is>
          <t>Asia/Pacific International Coal Mining</t>
        </is>
      </c>
      <c r="AH10" t="n">
        <v>1958000</v>
      </c>
      <c r="AI10" t="n">
        <v>1</v>
      </c>
      <c r="AJ10">
        <f>== Table 8 (page 32) ===
and Daunia mines. Scope 1 emissions,offsetting Scope 2 emissions on a whole-,,,,,,
,,,,,"1,958",,</f>
        <v/>
      </c>
      <c r="AK10" t="n">
        <v>271000</v>
      </c>
      <c r="AL10" t="n">
        <v>1</v>
      </c>
      <c r="AM10" t="inlineStr">
        <is>
          <t>,,,for June Qtr,,51%
,Our Scope 2 emissions (location based),,271,,
,"totalled 271 kt CO2-e, with the increase",,,,</t>
        </is>
      </c>
      <c r="AQ10" t="n">
        <v>8</v>
      </c>
      <c r="AR10" t="n">
        <v>0.111283</v>
      </c>
      <c r="AS10" t="n">
        <v>0.001372</v>
      </c>
    </row>
    <row r="11" ht="15" customHeight="1">
      <c r="A11" s="8" t="inlineStr">
        <is>
          <t>WES-AU</t>
        </is>
      </c>
      <c r="B11" s="8" t="inlineStr">
        <is>
          <t>Wesfarmers Ltd.</t>
        </is>
      </c>
      <c r="C11" s="8" t="n"/>
      <c r="D11" s="8" t="inlineStr">
        <is>
          <t>KH</t>
        </is>
      </c>
      <c r="E11" s="8" t="inlineStr">
        <is>
          <t>Kylie Ashenbrenner</t>
        </is>
      </c>
      <c r="F11" s="8" t="inlineStr">
        <is>
          <t>Invitation sent</t>
        </is>
      </c>
      <c r="G11" s="8" t="n"/>
      <c r="H11" s="8" t="n"/>
      <c r="I11" s="8" t="n"/>
      <c r="J11" s="8" t="n"/>
      <c r="K11" s="8" t="n"/>
      <c r="L11" s="8" t="n"/>
      <c r="M11" s="8" t="n"/>
      <c r="N11" s="17" t="n"/>
      <c r="O11" s="17" t="n"/>
      <c r="P11" s="10" t="n">
        <v>826977</v>
      </c>
      <c r="Q11" s="10" t="n">
        <v>485184</v>
      </c>
      <c r="R11" s="10">
        <f>IFERROR(_xlfn.XLOOKUP($A11,Profitability!$A$5:$A$342,Profitability!$Q$5:$Q$342),"na")</f>
        <v/>
      </c>
      <c r="S11" s="10">
        <f>IFERROR(_xlfn.XLOOKUP($A11,Profitability!$A$5:$A$342,Profitability!$R$5:$R$342),"na")</f>
        <v/>
      </c>
      <c r="T11" s="8" t="inlineStr">
        <is>
          <t>Public</t>
        </is>
      </c>
      <c r="U11" s="8" t="inlineStr">
        <is>
          <t>Australia</t>
        </is>
      </c>
      <c r="V11" s="9" t="n">
        <v>1981</v>
      </c>
      <c r="W11" s="10" t="n">
        <v>118000</v>
      </c>
      <c r="X11" s="11" t="n">
        <v>45575.9999999999</v>
      </c>
      <c r="Y11" s="8" t="inlineStr">
        <is>
          <t>Pacific</t>
        </is>
      </c>
      <c r="Z11" s="8" t="inlineStr">
        <is>
          <t>Western Australia (WA)</t>
        </is>
      </c>
      <c r="AA11" s="11" t="n">
        <v>30269.0007460254</v>
      </c>
      <c r="AB11" s="8" t="inlineStr">
        <is>
          <t>Wesfarmers Ltd. engages in the provision of fresh food, groceries, general merchandise, liquor, fuel, and financial services. It operates through the following segments: Bunnings; Kmart Group; Chemicals, Energy, and Fertilisers (WesCEF); Officeworks; Industrial and Safety; Health; Catch; and Other. The Bunnings segment consists of retailers of building materials and home and garden improvement products and servicing households and commercial customers including builders, trades, and businesses. The Kmart Group segment comprises of Kmart and Target which are retailers of apparel and general merchandise, including toys, leisure, entertainment, home, and consumable; and Catch which is an online retailer offering branded products on a first-party basis and a third-party online marketplace. The WesCEF segment refers to manufacturer and marketer of chemicals for industry, mining, mineral processing, broadacre and horticultural fertilisers, marketer and distributor of LPG and LNG; and manufacturer of wood-plastic composite decking and screening products. The Officeworks segment covers the retail and supply of office products and solutions for households, small-to-medium sized businesses, and the education sector. The Industrial and Safety segment supplies and distributes maintenance, repair, and operating products; manufactures and markets industrial gases and equipment; supplies, manufactures, and distributes workwear clothing in Australia and internationally. The Health segment wholesales and retails pharmaceutical, health, wellbeing, and beauty products. The Catch segment operates as an online retailer offering branded products on first-party basis and a third-party online marketplace. The Other segment includes food and stables retailing; forest products; property; investment banking; OneDigital, and Corporate. The company was founded in 1914 and is headquartered in Perth, Australia.</t>
        </is>
      </c>
      <c r="AC11" s="8" t="inlineStr">
        <is>
          <t>Mixed Home Improvement and Furnishings Stores</t>
        </is>
      </c>
      <c r="AD11" s="8" t="inlineStr">
        <is>
          <t>Home Improvement Retail</t>
        </is>
      </c>
      <c r="AE11" s="8" t="inlineStr">
        <is>
          <t>Consumer Retail</t>
        </is>
      </c>
      <c r="AF11" s="12" t="inlineStr">
        <is>
          <t>Mixed Home Improvement and Furnishings Stores</t>
        </is>
      </c>
      <c r="AH11" t="n">
        <v>789700</v>
      </c>
      <c r="AI11" t="n">
        <v>1</v>
      </c>
      <c r="AJ11" t="inlineStr">
        <is>
          <t>,and others in the sectors in which,
focus on reducing operational Scope 1,,financial disclosure requirements apply
,they operate.,</t>
        </is>
      </c>
      <c r="AK11" t="n">
        <v>236900</v>
      </c>
      <c r="AL11" t="n">
        <v>1</v>
      </c>
      <c r="AM11" t="inlineStr">
        <is>
          <t>,they operate.,
and Scope 2 greenhouse gas emissions,,to the Group from 1 July 2025 for financial
(operational emissions). All divisions have,"This year, we established cross-functional",year 2026 reporting. As the ASRS S2</t>
        </is>
      </c>
      <c r="AN11" t="n">
        <v>30500000</v>
      </c>
      <c r="AO11" t="n">
        <v>1</v>
      </c>
      <c r="AP11" t="inlineStr">
        <is>
          <t>and value chains.,,
The Group’s Scope 31 emissions arise from,The Group’s Scope 3 emissions are,Category 4 — Upstream transportation
"a wide range of activities across suppliers,",concentrated in four categories and those,and distribution includes emissions that</t>
        </is>
      </c>
      <c r="AQ11" t="n">
        <v>24</v>
      </c>
      <c r="AR11" t="n">
        <v>0.06419999999999999</v>
      </c>
      <c r="AS11" t="n">
        <v>0.000527</v>
      </c>
    </row>
    <row r="12" ht="15" customHeight="1">
      <c r="A12" s="8" t="inlineStr">
        <is>
          <t>QAN-AU</t>
        </is>
      </c>
      <c r="B12" s="8" t="inlineStr">
        <is>
          <t>Qantas Airways Ltd.</t>
        </is>
      </c>
      <c r="C12" s="8" t="n"/>
      <c r="D12" s="8" t="inlineStr">
        <is>
          <t>KH</t>
        </is>
      </c>
      <c r="E12" s="8" t="inlineStr">
        <is>
          <t>Darren Wee</t>
        </is>
      </c>
      <c r="F12" s="8" t="inlineStr">
        <is>
          <t>Invitation sent</t>
        </is>
      </c>
      <c r="G12" s="8" t="n"/>
      <c r="H12" s="8" t="n"/>
      <c r="I12" s="8" t="n"/>
      <c r="J12" s="8" t="n"/>
      <c r="K12" s="8" t="n"/>
      <c r="L12" s="8" t="n"/>
      <c r="M12" s="8" t="n"/>
      <c r="N12" s="17" t="n"/>
      <c r="O12" s="17" t="n"/>
      <c r="P12" s="10" t="n">
        <v>4528002</v>
      </c>
      <c r="Q12" s="10" t="n">
        <v>59740</v>
      </c>
      <c r="R12" s="10">
        <f>IFERROR(_xlfn.XLOOKUP($A12,Profitability!$A$5:$A$342,Profitability!$Q$5:$Q$342),"na")</f>
        <v/>
      </c>
      <c r="S12" s="10">
        <f>IFERROR(_xlfn.XLOOKUP($A12,Profitability!$A$5:$A$342,Profitability!$R$5:$R$342),"na")</f>
        <v/>
      </c>
      <c r="T12" s="8" t="inlineStr">
        <is>
          <t>Public</t>
        </is>
      </c>
      <c r="U12" s="8" t="inlineStr">
        <is>
          <t>Australia</t>
        </is>
      </c>
      <c r="V12" s="9" t="n">
        <v>1950</v>
      </c>
      <c r="W12" s="10" t="n">
        <v>25000</v>
      </c>
      <c r="X12" s="11" t="n">
        <v>23409</v>
      </c>
      <c r="Y12" s="8" t="inlineStr">
        <is>
          <t>Pacific</t>
        </is>
      </c>
      <c r="Z12" s="8" t="inlineStr">
        <is>
          <t>New South Wales (NSW)</t>
        </is>
      </c>
      <c r="AA12" s="11" t="n">
        <v>23356.0005756441</v>
      </c>
      <c r="AB12" s="8" t="inlineStr">
        <is>
          <t>Qantas Airways Ltd. engages in international and domestic air transportation services. It operates through the following segments: Qantas Domestic, Qantas International, Jetstar Group, Qantas Loyalty, and Corporate. The Qantas Domestic segment is involved in the carrier in the Australian domestic market measured by capacity. The Qantas International segment refers to the carrier into and out of Australia, also targeting business and leisure customers who value the full-service experience. The Jetstar Group segment focuses on operations in Australia, delivering low fares and a differentiated product offering to the price-sensitive market. The Qantas Loyalty segment consists of consumer and SME coalition loyalty programs. The Corporate segment refers to centralized management and governance of the Qantas Group. The company was founded on November 16, 1920 and is headquartered in Mascot, Australia.</t>
        </is>
      </c>
      <c r="AC12" s="8" t="inlineStr">
        <is>
          <t>Air Passenger Transportation</t>
        </is>
      </c>
      <c r="AD12" s="8" t="inlineStr">
        <is>
          <t>Passenger Transportation</t>
        </is>
      </c>
      <c r="AE12" s="8" t="inlineStr">
        <is>
          <t>Industrial Services</t>
        </is>
      </c>
      <c r="AF12" s="12" t="inlineStr">
        <is>
          <t>Asia/Pacific Air Passenger Service Providers</t>
        </is>
      </c>
      <c r="AH12" t="n">
        <v>12139425</v>
      </c>
      <c r="AJ12" t="inlineStr">
        <is>
          <t>FY25 Scope 1 emissions (tCO₂e).</t>
        </is>
      </c>
      <c r="AK12" t="n">
        <v>58106</v>
      </c>
      <c r="AM12" t="inlineStr">
        <is>
          <t>FY25 Global Scope 2 GHG emissions (tCO₂e) (location-based method).</t>
        </is>
      </c>
      <c r="AN12" t="n">
        <v>7305845</v>
      </c>
      <c r="AP12" t="inlineStr">
        <is>
          <t>FY25 Scope 3 emissions (tCO₂e).</t>
        </is>
      </c>
      <c r="AQ12" t="n">
        <v>30</v>
      </c>
      <c r="AR12" t="n">
        <v>0.068563</v>
      </c>
      <c r="AS12" t="n">
        <v>0.001282</v>
      </c>
    </row>
    <row r="13" ht="15" customHeight="1">
      <c r="A13" s="8" t="inlineStr">
        <is>
          <t>MGR-AU</t>
        </is>
      </c>
      <c r="B13" s="8" t="inlineStr">
        <is>
          <t>Mirvac Group</t>
        </is>
      </c>
      <c r="C13" s="8" t="n"/>
      <c r="D13" s="8" t="inlineStr">
        <is>
          <t>KH</t>
        </is>
      </c>
      <c r="E13" s="8" t="inlineStr">
        <is>
          <t>Secondary only. Requested.</t>
        </is>
      </c>
      <c r="F13" s="8" t="inlineStr">
        <is>
          <t>Invitation sent</t>
        </is>
      </c>
      <c r="G13" s="8" t="n"/>
      <c r="H13" s="8" t="n"/>
      <c r="I13" s="8" t="n"/>
      <c r="J13" s="8" t="n"/>
      <c r="K13" s="8" t="n"/>
      <c r="L13" s="8" t="n"/>
      <c r="M13" s="8" t="n"/>
      <c r="N13" s="17" t="n"/>
      <c r="O13" s="17" t="n"/>
      <c r="P13" s="17" t="n"/>
      <c r="Q13" s="17" t="n"/>
      <c r="R13" s="10">
        <f>IFERROR(_xlfn.XLOOKUP($A13,Profitability!$A$5:$A$342,Profitability!$Q$5:$Q$342),"na")</f>
        <v/>
      </c>
      <c r="S13" s="10">
        <f>IFERROR(_xlfn.XLOOKUP($A13,Profitability!$A$5:$A$342,Profitability!$R$5:$R$342),"na")</f>
        <v/>
      </c>
      <c r="T13" s="8" t="inlineStr">
        <is>
          <t>Public</t>
        </is>
      </c>
      <c r="U13" s="8" t="inlineStr">
        <is>
          <t>Australia</t>
        </is>
      </c>
      <c r="V13" s="9" t="n">
        <v>1972</v>
      </c>
      <c r="W13" s="10" t="n">
        <v>1651</v>
      </c>
      <c r="X13" s="11" t="n">
        <v>2465.99999999999</v>
      </c>
      <c r="Y13" s="8" t="inlineStr">
        <is>
          <t>Pacific</t>
        </is>
      </c>
      <c r="Z13" s="8" t="inlineStr">
        <is>
          <t>New South Wales (NSW)</t>
        </is>
      </c>
      <c r="AA13" s="11" t="n">
        <v>15290.0003768453</v>
      </c>
      <c r="AB13" s="8" t="inlineStr">
        <is>
          <t>Mirvac Group engages in real estate investment, development, third party capital management, and property asset management. It operates through the following segments: Investment, Funds, and Development. The Investment segment focuses on directly owned assets, co-investment stakes in funds, and investments in joint ventures and associates alongside capital partners. The Funds segment includes both funds management and asset management operations. The Development segment deals with commercial and mixed-use, build to rent, and residential projects. The company was founded by Henry Pollack and Robert Hamilton in 1972 and is headquartered in Sydney, Australia.</t>
        </is>
      </c>
      <c r="AC13" s="8" t="inlineStr">
        <is>
          <t>Equity REITs</t>
        </is>
      </c>
      <c r="AD13" s="8" t="inlineStr">
        <is>
          <t>Real Estate Investment Trusts (REITs)</t>
        </is>
      </c>
      <c r="AE13" s="8" t="inlineStr">
        <is>
          <t>Real Estate</t>
        </is>
      </c>
      <c r="AF13" s="12" t="inlineStr">
        <is>
          <t>Equity REITs</t>
        </is>
      </c>
      <c r="AH13" t="n">
        <v>6618</v>
      </c>
      <c r="AI13" t="n">
        <v>1</v>
      </c>
      <c r="AJ13" t="inlineStr">
        <is>
          <t>Total Scope 1,"6,618","9,632","10,711","9,371",</t>
        </is>
      </c>
      <c r="AK13" t="n">
        <v>73110</v>
      </c>
      <c r="AL13" t="n">
        <v>1</v>
      </c>
      <c r="AM13" t="inlineStr">
        <is>
          <t>Total Scope 2,"73,110",—,—,—,</t>
        </is>
      </c>
      <c r="AN13" t="n">
        <v>0</v>
      </c>
      <c r="AQ13" t="n">
        <v>0</v>
      </c>
      <c r="AR13" t="n">
        <v>0.027575</v>
      </c>
      <c r="AS13" t="n">
        <v>0</v>
      </c>
    </row>
    <row r="14" ht="15" customHeight="1">
      <c r="A14" s="8" t="inlineStr">
        <is>
          <t>ILU-AU</t>
        </is>
      </c>
      <c r="B14" s="8" t="inlineStr">
        <is>
          <t>Iluka Resources Ltd.</t>
        </is>
      </c>
      <c r="C14" s="8" t="n"/>
      <c r="D14" s="8" t="inlineStr">
        <is>
          <t>KH</t>
        </is>
      </c>
      <c r="E14" s="8" t="inlineStr">
        <is>
          <t>Sarah Hodgson</t>
        </is>
      </c>
      <c r="F14" s="8" t="inlineStr">
        <is>
          <t>Invitation sent</t>
        </is>
      </c>
      <c r="G14" s="8" t="n"/>
      <c r="H14" s="8" t="n"/>
      <c r="I14" s="8" t="n"/>
      <c r="J14" s="8" t="n"/>
      <c r="K14" s="8" t="n"/>
      <c r="L14" s="8" t="n"/>
      <c r="M14" s="8" t="n"/>
      <c r="N14" s="17" t="n"/>
      <c r="O14" s="17" t="n"/>
      <c r="P14" s="17" t="n"/>
      <c r="Q14" s="17" t="n"/>
      <c r="R14" s="10">
        <f>IFERROR(_xlfn.XLOOKUP($A14,Profitability!$A$5:$A$342,Profitability!$Q$5:$Q$342),"na")</f>
        <v/>
      </c>
      <c r="S14" s="10">
        <f>IFERROR(_xlfn.XLOOKUP($A14,Profitability!$A$5:$A$342,Profitability!$R$5:$R$342),"na")</f>
        <v/>
      </c>
      <c r="T14" s="8" t="inlineStr">
        <is>
          <t>Public</t>
        </is>
      </c>
      <c r="U14" s="8" t="inlineStr">
        <is>
          <t>Australia</t>
        </is>
      </c>
      <c r="V14" s="9" t="n">
        <v>1954</v>
      </c>
      <c r="W14" s="10" t="n">
        <v>971</v>
      </c>
      <c r="X14" s="11" t="n">
        <v>1170.29999999999</v>
      </c>
      <c r="Y14" s="8" t="inlineStr">
        <is>
          <t>Pacific</t>
        </is>
      </c>
      <c r="Z14" s="8" t="inlineStr">
        <is>
          <t>Western Australia (WA)</t>
        </is>
      </c>
      <c r="AA14" s="11" t="n">
        <v>3925.19987824714</v>
      </c>
      <c r="AB14" s="8" t="inlineStr">
        <is>
          <t>Iluka Resources Ltd. engages in the exploration, development, mining, processing, marketing, and rehabilitation of mineral sands products. It operates through the following segments: Jacinth-Ambrosia/Mid West (JA/MW), Cataby/South West (C/SW), Rare Earths (RE), and United States/Murray Basin (US/MB). The JA/MW segment deals with mining operations at Jacinth-Ambrosia located in South Australia, and associated processing operations at the Narngulu mineral separation plant in mid-west Western Australia. The C/SW segment represents mining activities at Cataby and processing of ilmenite at Synthetic Rutile Kilns 1 and 2, located in Western Australia. The RE segment refers to the Eneabba Rare Earths Refinery, which is currently being constructed in Western Australia and associated feasibility studies alongside Phase 1 and 2 of the Eneabba development, and the Group's investment in Northern Minerals Limited. The US/MB segment focuses on rehabilitation obligations in Florida and Virginia, and certain idle assets located in Australia. The company was founded on July 24, 1954 and is headquartered in Perth, Australia.</t>
        </is>
      </c>
      <c r="AC14" s="8" t="inlineStr">
        <is>
          <t>Base Metal Mining</t>
        </is>
      </c>
      <c r="AD14" s="8" t="inlineStr">
        <is>
          <t>Metal Ore Mining</t>
        </is>
      </c>
      <c r="AE14" s="8" t="inlineStr">
        <is>
          <t>Mining and Mineral Products</t>
        </is>
      </c>
      <c r="AF14" s="12" t="inlineStr">
        <is>
          <t>Non-Ferrous Metal Ore Mining</t>
        </is>
      </c>
      <c r="AH14" t="n">
        <v>392000</v>
      </c>
      <c r="AJ14" t="inlineStr">
        <is>
          <t>2024 Scope 1 emissions (392 ktCO2e).</t>
        </is>
      </c>
      <c r="AK14" t="n">
        <v>71000</v>
      </c>
      <c r="AM14" t="inlineStr">
        <is>
          <t>2024 Scope 2 emissions (71 ktCO2e).</t>
        </is>
      </c>
      <c r="AN14" t="n">
        <v>0</v>
      </c>
      <c r="AP14" t="inlineStr">
        <is>
          <t>Iluka is currently examining its scope 3 emissions and intends to disclose this information in future reports.</t>
        </is>
      </c>
      <c r="AQ14" t="n">
        <v>1</v>
      </c>
      <c r="AR14" t="n">
        <v>0.197642</v>
      </c>
      <c r="AS14" t="n">
        <v>0.000854</v>
      </c>
    </row>
    <row r="15" ht="15" customHeight="1">
      <c r="A15" s="8" t="inlineStr">
        <is>
          <t>RHC-AU</t>
        </is>
      </c>
      <c r="B15" s="8" t="inlineStr">
        <is>
          <t>Ramsay Health Care Ltd.</t>
        </is>
      </c>
      <c r="C15" s="8" t="n"/>
      <c r="D15" s="8" t="inlineStr">
        <is>
          <t>KH</t>
        </is>
      </c>
      <c r="E15" s="8" t="inlineStr">
        <is>
          <t>Siobhan Leach</t>
        </is>
      </c>
      <c r="F15" s="8" t="inlineStr">
        <is>
          <t>Invitation sent</t>
        </is>
      </c>
      <c r="G15" s="8" t="n"/>
      <c r="H15" s="8" t="n"/>
      <c r="I15" s="8" t="n"/>
      <c r="J15" s="8" t="n"/>
      <c r="K15" s="8" t="n"/>
      <c r="L15" s="8" t="n"/>
      <c r="M15" s="8" t="n"/>
      <c r="N15" s="17" t="n"/>
      <c r="O15" s="17" t="n"/>
      <c r="P15" s="10" t="n">
        <v>16136</v>
      </c>
      <c r="Q15" s="10" t="n">
        <v>131592</v>
      </c>
      <c r="R15" s="10">
        <f>IFERROR(_xlfn.XLOOKUP($A15,Profitability!$A$5:$A$342,Profitability!$Q$5:$Q$342),"na")</f>
        <v/>
      </c>
      <c r="S15" s="10">
        <f>IFERROR(_xlfn.XLOOKUP($A15,Profitability!$A$5:$A$342,Profitability!$R$5:$R$342),"na")</f>
        <v/>
      </c>
      <c r="T15" s="8" t="inlineStr">
        <is>
          <t>Public</t>
        </is>
      </c>
      <c r="U15" s="8" t="inlineStr">
        <is>
          <t>Australia</t>
        </is>
      </c>
      <c r="V15" s="9" t="n">
        <v>1975</v>
      </c>
      <c r="W15" s="10" t="n">
        <v>90000</v>
      </c>
      <c r="X15" s="11" t="n">
        <v>17791.5999999999</v>
      </c>
      <c r="Y15" s="8" t="inlineStr">
        <is>
          <t>Pacific</t>
        </is>
      </c>
      <c r="Z15" s="8" t="inlineStr">
        <is>
          <t>New South Wales (NSW)</t>
        </is>
      </c>
      <c r="AA15" s="11" t="n">
        <v>22959.8005658791</v>
      </c>
      <c r="AB15" s="8" t="inlineStr">
        <is>
          <t>Ramsay Health Care Ltd. engages in the healthcare services and the operation of hospitals and day surgery facilities. It operates through the following geographical segments : Asia Pacific, UK, France and Nordics. The company was founded by Paul Joseph Ramsay in 1964 and is headquartered in Sydney, Australia.</t>
        </is>
      </c>
      <c r="AC15" s="8" t="inlineStr">
        <is>
          <t>Acute Care and Institutional Patient Care</t>
        </is>
      </c>
      <c r="AD15" s="8" t="inlineStr">
        <is>
          <t>Patient Care</t>
        </is>
      </c>
      <c r="AE15" s="8" t="inlineStr">
        <is>
          <t>Healthcare Services</t>
        </is>
      </c>
      <c r="AF15" s="12" t="inlineStr">
        <is>
          <t>General and Acute Hospitals</t>
        </is>
      </c>
      <c r="AH15" t="n">
        <v>88711</v>
      </c>
      <c r="AJ15" t="inlineStr">
        <is>
          <t>FY25 Group Scope 1 emissions (tCO2-e) derived from summing Gas and fuel (59,949), Anaesthetic gases (26,244), and Refrigerants (2,518).</t>
        </is>
      </c>
      <c r="AK15" t="n">
        <v>129225</v>
      </c>
      <c r="AM15" t="inlineStr">
        <is>
          <t>FY25 Group Scope 2 emissions (tCO2-e) (Market-based Electricity).</t>
        </is>
      </c>
      <c r="AN15" t="n">
        <v>0</v>
      </c>
      <c r="AP15" t="inlineStr">
        <is>
          <t>No specific total Scope 3 quantification found in the provided tables, although Scope 3 is included in the net zero target scope.</t>
        </is>
      </c>
      <c r="AQ15" t="n">
        <v>20</v>
      </c>
      <c r="AR15" t="n">
        <v>0.001349</v>
      </c>
      <c r="AS15" t="n">
        <v>0.001124</v>
      </c>
    </row>
    <row r="16" ht="15" customHeight="1">
      <c r="A16" s="8" t="inlineStr">
        <is>
          <t>MND-AU</t>
        </is>
      </c>
      <c r="B16" s="8" t="inlineStr">
        <is>
          <t>Monadelphous Group Ltd.</t>
        </is>
      </c>
      <c r="C16" s="8" t="n"/>
      <c r="D16" s="8" t="inlineStr">
        <is>
          <t>KH</t>
        </is>
      </c>
      <c r="E16" s="8" t="inlineStr">
        <is>
          <t>Rebecca Voyer</t>
        </is>
      </c>
      <c r="F16" s="8" t="inlineStr">
        <is>
          <t>Invitation sent</t>
        </is>
      </c>
      <c r="G16" s="8" t="n"/>
      <c r="H16" s="8" t="n"/>
      <c r="I16" s="8" t="n"/>
      <c r="J16" s="8" t="n"/>
      <c r="K16" s="8" t="n"/>
      <c r="L16" s="8" t="n"/>
      <c r="M16" s="8" t="n"/>
      <c r="N16" s="17" t="n"/>
      <c r="O16" s="17" t="n"/>
      <c r="P16" s="17" t="n"/>
      <c r="Q16" s="17" t="n"/>
      <c r="R16" s="10">
        <f>IFERROR(_xlfn.XLOOKUP($A16,Profitability!$A$5:$A$342,Profitability!$Q$5:$Q$342),"na")</f>
        <v/>
      </c>
      <c r="S16" s="10">
        <f>IFERROR(_xlfn.XLOOKUP($A16,Profitability!$A$5:$A$342,Profitability!$R$5:$R$342),"na")</f>
        <v/>
      </c>
      <c r="T16" s="8" t="inlineStr">
        <is>
          <t>Public</t>
        </is>
      </c>
      <c r="U16" s="8" t="inlineStr">
        <is>
          <t>Australia</t>
        </is>
      </c>
      <c r="V16" s="9" t="n">
        <v>1981</v>
      </c>
      <c r="W16" s="10" t="n">
        <v>7375</v>
      </c>
      <c r="X16" s="11" t="n">
        <v>2153.15599999999</v>
      </c>
      <c r="Y16" s="8" t="inlineStr">
        <is>
          <t>Pacific</t>
        </is>
      </c>
      <c r="Z16" s="8" t="inlineStr">
        <is>
          <t>Western Australia (WA)</t>
        </is>
      </c>
      <c r="AA16" s="11" t="n">
        <v>1005.23002477542</v>
      </c>
      <c r="AB16" s="8" t="inlineStr">
        <is>
          <t>Monadelphous Group Ltd. provides construction, maintenance and industrial services to the resources, energy and infrastructure sectors. The firm's divisions include Engineering Construction; and Maintenance and Industrial Services. The Engineering Construction division provides large-scale multidisciplinary project management and construction services. The Maintenance and Industrial Services division specializes in the planning, management and execution of mechanical and electrical maintenance services, shutdowns, sustaining capital works, fixed plant maintenance services, access solutions, specialist coatings and rail maintenance services. . It operates through the following geographical segments: Australia, Chile, Papua New Guinea, Mongolia, and Other overseas locations. The company was founded in 1972 and is headquartered in Perth, Australia.</t>
        </is>
      </c>
      <c r="AC16" s="8" t="inlineStr">
        <is>
          <t>Specialty Contracting Services</t>
        </is>
      </c>
      <c r="AD16" s="8" t="inlineStr">
        <is>
          <t>Facilities and Construction Services</t>
        </is>
      </c>
      <c r="AE16" s="8" t="inlineStr">
        <is>
          <t>Industrial Services</t>
        </is>
      </c>
      <c r="AF16" s="12" t="inlineStr">
        <is>
          <t>Industrial Specialty Engineering Contractors</t>
        </is>
      </c>
      <c r="AH16" t="n">
        <v>6608</v>
      </c>
      <c r="AI16" t="n">
        <v>0.9</v>
      </c>
      <c r="AJ16" t="inlineStr">
        <is>
          <t>which the Company will reference,,
,"year ended 30 June 2025 was 6,608",
progress of its Net Zero by 2050 and,,</t>
        </is>
      </c>
      <c r="AK16" t="n">
        <v>7599000</v>
      </c>
      <c r="AL16" t="n">
        <v>0.9</v>
      </c>
      <c r="AM16" t="inlineStr">
        <is>
          <t>figure is 7,599 tCO2-e.</t>
        </is>
      </c>
      <c r="AQ16" t="n">
        <v>22</v>
      </c>
      <c r="AR16" t="n">
        <v>0.038883</v>
      </c>
      <c r="AS16" t="n">
        <v>0.010218</v>
      </c>
    </row>
    <row r="17" ht="15" customHeight="1">
      <c r="A17" s="8" t="inlineStr">
        <is>
          <t>BSL-AU</t>
        </is>
      </c>
      <c r="B17" s="8" t="inlineStr">
        <is>
          <t>BlueScope Steel Ltd.</t>
        </is>
      </c>
      <c r="C17" s="8" t="n"/>
      <c r="D17" s="8" t="inlineStr">
        <is>
          <t>KH</t>
        </is>
      </c>
      <c r="E17" s="8" t="inlineStr">
        <is>
          <t>Megan Wheeldon</t>
        </is>
      </c>
      <c r="F17" s="8" t="inlineStr">
        <is>
          <t>Invitation sent</t>
        </is>
      </c>
      <c r="G17" s="8" t="n"/>
      <c r="H17" s="8" t="n"/>
      <c r="I17" s="8" t="n"/>
      <c r="J17" s="8" t="n"/>
      <c r="K17" s="8" t="n"/>
      <c r="L17" s="8" t="n"/>
      <c r="M17" s="8" t="n"/>
      <c r="N17" s="17" t="n"/>
      <c r="O17" s="17" t="n"/>
      <c r="P17" s="10" t="n">
        <v>6131585</v>
      </c>
      <c r="Q17" s="10" t="n">
        <v>806487</v>
      </c>
      <c r="R17" s="10">
        <f>IFERROR(_xlfn.XLOOKUP($A17,Profitability!$A$5:$A$342,Profitability!$Q$5:$Q$342),"na")</f>
        <v/>
      </c>
      <c r="S17" s="10">
        <f>IFERROR(_xlfn.XLOOKUP($A17,Profitability!$A$5:$A$342,Profitability!$R$5:$R$342),"na")</f>
        <v/>
      </c>
      <c r="T17" s="8" t="inlineStr">
        <is>
          <t>Public</t>
        </is>
      </c>
      <c r="U17" s="8" t="inlineStr">
        <is>
          <t>Australia</t>
        </is>
      </c>
      <c r="V17" s="9" t="n">
        <v>1921</v>
      </c>
      <c r="W17" s="10" t="n">
        <v>16500</v>
      </c>
      <c r="X17" s="11" t="n">
        <v>16294.4</v>
      </c>
      <c r="Y17" s="8" t="inlineStr">
        <is>
          <t>Pacific</t>
        </is>
      </c>
      <c r="Z17" s="8" t="inlineStr">
        <is>
          <t>Victoria (VIC)</t>
        </is>
      </c>
      <c r="AA17" s="11" t="n">
        <v>15781.0003889468</v>
      </c>
      <c r="AB17" s="8" t="inlineStr">
        <is>
          <t>BlueScope Steel Ltd. engages in the manufacture of steel products. It operates through the following segments: Australian Steel Products, North Star BlueScope Steel, Buildings and Coated Products North America, Coated Products Asia, and New Zealand and Pacific Islands. The Australian Steel Products segment produces and markets coated and painted flat steel products. The North Star BlueScope Steel segment is a single site electric arc furnace producer of hot rolled coil. The Buildings and Coated Products North America segment includes engineered building solutions and servicing the low-rise non-residential construction needs of customers. The Coated Products Asia segment offers metal coated and painted steel building products. The New Zealand and Pacific Islands segment consists of New Zealand Steel, Pacific Steel, and BlueScope Pacific Islands business areas. The company was founded on July 15, 2002 and is headquartered in Melbourne, Australia.</t>
        </is>
      </c>
      <c r="AC17" s="8" t="inlineStr">
        <is>
          <t>Primary Metals Products</t>
        </is>
      </c>
      <c r="AD17" s="8" t="inlineStr">
        <is>
          <t>Metal Products</t>
        </is>
      </c>
      <c r="AE17" s="8" t="inlineStr">
        <is>
          <t>Mining and Mineral Products</t>
        </is>
      </c>
      <c r="AF17" s="12" t="inlineStr">
        <is>
          <t>Diversified Primary Metals Processors</t>
        </is>
      </c>
      <c r="AH17" t="n">
        <v>8500000</v>
      </c>
      <c r="AJ17" t="inlineStr">
        <is>
          <t>FY25 Scope 1 GHG emissions (8,500 ktCO2-e)</t>
        </is>
      </c>
      <c r="AK17" t="n">
        <v>1700000</v>
      </c>
      <c r="AM17" t="inlineStr">
        <is>
          <t>FY25 Scope 2 GHG emissions (1,700 ktCO2-e)</t>
        </is>
      </c>
      <c r="AN17" t="n">
        <v>12770000</v>
      </c>
      <c r="AP17" t="inlineStr">
        <is>
          <t>FY25 Scope 3 GHG emissions (12,770 ktCO2-e)</t>
        </is>
      </c>
      <c r="AQ17" t="n">
        <v>14</v>
      </c>
      <c r="AR17" t="n">
        <v>0.004554</v>
      </c>
      <c r="AS17" t="n">
        <v>0.000859</v>
      </c>
    </row>
    <row r="18" ht="15" customHeight="1">
      <c r="A18" s="8" t="inlineStr">
        <is>
          <t>FMG-AU</t>
        </is>
      </c>
      <c r="B18" s="8" t="inlineStr">
        <is>
          <t>Fortescue Ltd.</t>
        </is>
      </c>
      <c r="C18" s="8" t="n"/>
      <c r="D18" s="8" t="inlineStr">
        <is>
          <t>KH</t>
        </is>
      </c>
      <c r="E18" s="8" t="inlineStr">
        <is>
          <t>Bronwyn Grieve</t>
        </is>
      </c>
      <c r="F18" s="8" t="inlineStr">
        <is>
          <t>Invitation sent</t>
        </is>
      </c>
      <c r="G18" s="8" t="n"/>
      <c r="H18" s="8" t="n"/>
      <c r="I18" s="8" t="n"/>
      <c r="J18" s="8" t="n"/>
      <c r="K18" s="8" t="n"/>
      <c r="L18" s="8" t="n"/>
      <c r="M18" s="8" t="n"/>
      <c r="N18" s="17" t="n"/>
      <c r="O18" s="17" t="n"/>
      <c r="P18" s="10" t="n">
        <v>2002222</v>
      </c>
      <c r="Q18" s="10" t="n">
        <v>513963</v>
      </c>
      <c r="R18" s="10">
        <f>IFERROR(_xlfn.XLOOKUP($A18,Profitability!$A$5:$A$342,Profitability!$Q$5:$Q$342),"na")</f>
        <v/>
      </c>
      <c r="S18" s="10">
        <f>IFERROR(_xlfn.XLOOKUP($A18,Profitability!$A$5:$A$342,Profitability!$R$5:$R$342),"na")</f>
        <v/>
      </c>
      <c r="T18" s="8" t="inlineStr">
        <is>
          <t>Public</t>
        </is>
      </c>
      <c r="U18" s="8" t="inlineStr">
        <is>
          <t>Australia</t>
        </is>
      </c>
      <c r="V18" s="9" t="n">
        <v>1983</v>
      </c>
      <c r="W18" s="10" t="inlineStr">
        <is>
          <t>-</t>
        </is>
      </c>
      <c r="X18" s="11" t="n">
        <v>23996.689865466</v>
      </c>
      <c r="Y18" s="8" t="inlineStr">
        <is>
          <t>Pacific</t>
        </is>
      </c>
      <c r="Z18" s="8" t="inlineStr">
        <is>
          <t>Western Australia (WA)</t>
        </is>
      </c>
      <c r="AA18" s="11" t="n">
        <v>47844.6643365982</v>
      </c>
      <c r="AB18" s="8" t="inlineStr">
        <is>
          <t>Fortescue Ltd. engages in the development of iron ore deposits. It operates through the Metals and Energy segments. The Metals segment includes exploration, development, production, processing, sale, and transportation of iron ore, and the exploration for other minerals. The Energy segment is involved in the development of green electricity, green hydrogen, and green ammonia projects. The company was founded by John Andrew Henry Forrest in April 2003 and is headquartered in East Perth, Australia.</t>
        </is>
      </c>
      <c r="AC18" s="8" t="inlineStr">
        <is>
          <t>Base Metal Mining</t>
        </is>
      </c>
      <c r="AD18" s="8" t="inlineStr">
        <is>
          <t>Metal Ore Mining</t>
        </is>
      </c>
      <c r="AE18" s="8" t="inlineStr">
        <is>
          <t>Mining and Mineral Products</t>
        </is>
      </c>
      <c r="AF18" s="12" t="inlineStr">
        <is>
          <t>Other Base Metal Ore Mining</t>
        </is>
      </c>
      <c r="AH18" t="n">
        <v>2640000</v>
      </c>
      <c r="AI18" t="n">
        <v>1</v>
      </c>
      <c r="AJ18" t="inlineStr">
        <is>
          <t>Total Group Scope 1,2.64,2.36,12.0%</t>
        </is>
      </c>
      <c r="AK18" t="n">
        <v>520000</v>
      </c>
      <c r="AL18" t="n">
        <v>1</v>
      </c>
      <c r="AM18" t="inlineStr">
        <is>
          <t>Australian terrestrial iron ore operations Scope 2 emissions (location-based),0.37,0.36,0.35</t>
        </is>
      </c>
      <c r="AN18" t="n">
        <v>275880000</v>
      </c>
      <c r="AO18" t="n">
        <v>1</v>
      </c>
      <c r="AP18" t="inlineStr">
        <is>
          <t>Total Group Scope 3 emissions,275.88,269.31,2.4%</t>
        </is>
      </c>
      <c r="AQ18" t="n">
        <v>8</v>
      </c>
      <c r="AR18" t="n">
        <v>0.217039</v>
      </c>
      <c r="AS18" t="n">
        <v>0.000333</v>
      </c>
    </row>
    <row r="19" ht="15" customHeight="1">
      <c r="A19" s="8" t="inlineStr">
        <is>
          <t>WOR-AU</t>
        </is>
      </c>
      <c r="B19" s="8" t="inlineStr">
        <is>
          <t>Worley Ltd.</t>
        </is>
      </c>
      <c r="C19" s="8" t="n"/>
      <c r="D19" s="8" t="inlineStr">
        <is>
          <t>KH</t>
        </is>
      </c>
      <c r="E19" s="8" t="inlineStr">
        <is>
          <t>Secondary only. Requested.</t>
        </is>
      </c>
      <c r="F19" s="8" t="inlineStr">
        <is>
          <t>Invitation sent</t>
        </is>
      </c>
      <c r="G19" s="8" t="n"/>
      <c r="H19" s="8" t="n"/>
      <c r="I19" s="8" t="n"/>
      <c r="J19" s="8" t="n"/>
      <c r="K19" s="8" t="n"/>
      <c r="L19" s="8" t="n"/>
      <c r="M19" s="8" t="n"/>
      <c r="N19" s="17" t="n"/>
      <c r="O19" s="17" t="n"/>
      <c r="P19" s="17" t="n"/>
      <c r="Q19" s="17" t="n"/>
      <c r="R19" s="10">
        <f>IFERROR(_xlfn.XLOOKUP($A19,Profitability!$A$5:$A$342,Profitability!$Q$5:$Q$342),"na")</f>
        <v/>
      </c>
      <c r="S19" s="10">
        <f>IFERROR(_xlfn.XLOOKUP($A19,Profitability!$A$5:$A$342,Profitability!$R$5:$R$342),"na")</f>
        <v/>
      </c>
      <c r="T19" s="8" t="inlineStr">
        <is>
          <t>Public</t>
        </is>
      </c>
      <c r="U19" s="8" t="inlineStr">
        <is>
          <t>Australia</t>
        </is>
      </c>
      <c r="V19" s="9" t="n">
        <v>2001</v>
      </c>
      <c r="W19" s="10" t="n">
        <v>45500</v>
      </c>
      <c r="X19" s="11" t="n">
        <v>11222</v>
      </c>
      <c r="Y19" s="8" t="inlineStr">
        <is>
          <t>Pacific</t>
        </is>
      </c>
      <c r="Z19" s="8" t="inlineStr">
        <is>
          <t>New South Wales (NSW)</t>
        </is>
      </c>
      <c r="AA19" s="11" t="n">
        <v>11019.0002715799</v>
      </c>
      <c r="AB19" s="8" t="inlineStr">
        <is>
          <t>Worley Ltd. engages in the provision of services to the resources, energy, and industrial sectors. It operates through the following segments: Energy and Chemical Services, Mining, Minerals and Metal Services, Major Projects and Integrated Solutions and Advisian. The Energy and Chemical Services segment includes engineering, procurement, project management, program management, and operations. The Mining, Minerals and Metals Services segment line of business combines extensive local experience and innovative, integrated solutions with technically-led centers of excellence to explore process improvements, develop fit-for-purpose engineering and project execution, and accelerate the translation of customer objectives into actions that drive production and project certainty. The Major Projects and Integrated Solutions segment focuses on delivering projects that pose a level of commercial and reputational risk for Worley by the nature of their size, complexity and the scope of services and also engages in delivering integrated solutions, which include maintenance, modification, operations, engineering, fabrication, construction, hook-up and commissioning services to existing assets around the globe. The Advisian segment provides a true end-to-end offering integrating strategy, management and technical consulting expertise to clients in the hydrocarbons, resources and infrastructure sectors. The company was founded by John Michael Grill in 1971 and is headquartered in Sydney, Australia.</t>
        </is>
      </c>
      <c r="AC19" s="8" t="inlineStr">
        <is>
          <t>Infrastructure Construction/Contracting Services</t>
        </is>
      </c>
      <c r="AD19" s="8" t="inlineStr">
        <is>
          <t>Facilities and Construction Services</t>
        </is>
      </c>
      <c r="AE19" s="8" t="inlineStr">
        <is>
          <t>Industrial Services</t>
        </is>
      </c>
      <c r="AF19" s="12" t="inlineStr">
        <is>
          <t>Process Plants, Utilities and Energy Construction</t>
        </is>
      </c>
      <c r="AH19" t="n">
        <v>24485</v>
      </c>
      <c r="AI19" t="n">
        <v>1</v>
      </c>
      <c r="AJ19" t="inlineStr">
        <is>
          <t>"GHG emissions from diesel generators at four leased sites in India were reclassified from Scope 1 to Scope 3 – category 8, as they relate to base building operations"
managed by landlords. This caused our Scope 1 &amp; 2 emissions to decrease by approximately 27t CO2e. 27/38360 0.1% decrease in emissions compared to FY2024.
Change in boundary</t>
        </is>
      </c>
      <c r="AK19" t="n">
        <v>6524</v>
      </c>
      <c r="AL19" t="n">
        <v>1</v>
      </c>
      <c r="AM19" t="inlineStr">
        <is>
          <t>We report Scope 2 emissions using both location-based and market-based methods as recommended by the GHG Protocol Scope 2 Guidance.</t>
        </is>
      </c>
      <c r="AN19" t="n">
        <v>1317095</v>
      </c>
      <c r="AO19" t="n">
        <v>1</v>
      </c>
      <c r="AP19" t="inlineStr">
        <is>
          <t>Our Climate Change Position Statement (CCPS) sets out the actions we’re taking in response to climate change. We are decarbonizing our business and are,
"committed to reducing Scope 1 and 2 GHG emissions to net zero by 2030, and Scope 3 emissions by 2050. We plan to achieve our Scope 1 and 2 commitments",
"through initiatives, such as reducing energy use and switching to renewable energy and low carbon fuels. We will achieve our Scope 3 commitments through working",</t>
        </is>
      </c>
      <c r="AQ19" t="n">
        <v>26</v>
      </c>
      <c r="AR19" t="n">
        <v>0.036446</v>
      </c>
      <c r="AS19" t="n">
        <v>0.002317</v>
      </c>
    </row>
    <row r="20" ht="15" customHeight="1">
      <c r="A20" s="8" t="inlineStr">
        <is>
          <t>VCX-AU</t>
        </is>
      </c>
      <c r="B20" s="8" t="inlineStr">
        <is>
          <t>Vicinity Centres</t>
        </is>
      </c>
      <c r="C20" s="8" t="n"/>
      <c r="D20" s="8" t="inlineStr">
        <is>
          <t>KH</t>
        </is>
      </c>
      <c r="E20" s="8" t="inlineStr">
        <is>
          <t>Jason Temby</t>
        </is>
      </c>
      <c r="F20" s="8" t="inlineStr">
        <is>
          <t>Invitation sent</t>
        </is>
      </c>
      <c r="G20" s="8" t="n"/>
      <c r="H20" s="8" t="n"/>
      <c r="I20" s="8" t="n"/>
      <c r="J20" s="8" t="n"/>
      <c r="K20" s="8" t="n"/>
      <c r="L20" s="8" t="n"/>
      <c r="M20" s="8" t="n"/>
      <c r="N20" s="17" t="n"/>
      <c r="O20" s="17" t="n"/>
      <c r="P20" s="17" t="n"/>
      <c r="Q20" s="17" t="n"/>
      <c r="R20" s="10">
        <f>IFERROR(_xlfn.XLOOKUP($A20,Profitability!$A$5:$A$342,Profitability!$Q$5:$Q$342),"na")</f>
        <v/>
      </c>
      <c r="S20" s="10">
        <f>IFERROR(_xlfn.XLOOKUP($A20,Profitability!$A$5:$A$342,Profitability!$R$5:$R$342),"na")</f>
        <v/>
      </c>
      <c r="T20" s="8" t="inlineStr">
        <is>
          <t>Public</t>
        </is>
      </c>
      <c r="U20" s="8" t="inlineStr">
        <is>
          <t>Australia</t>
        </is>
      </c>
      <c r="V20" s="9" t="n">
        <v>1985</v>
      </c>
      <c r="W20" s="10" t="n">
        <v>1246</v>
      </c>
      <c r="X20" s="11" t="n">
        <v>1330.1</v>
      </c>
      <c r="Y20" s="8" t="inlineStr">
        <is>
          <t>Pacific</t>
        </is>
      </c>
      <c r="Z20" s="8" t="inlineStr">
        <is>
          <t>Victoria (VIC)</t>
        </is>
      </c>
      <c r="AA20" s="11" t="n">
        <v>16342.5004027858</v>
      </c>
      <c r="AB20" s="8" t="inlineStr">
        <is>
          <t>Vicinity Centres operates as a real estate investment trust, which engages in the development, operation, and management of shopping centers. It operates through the following business segments: Property Investment and Strategic Partnerships. The Property Investment segment comprises of net property income derived from investment in retail property. The Strategic Partnerships segement offers property management, development, leasing, and management of wholesale property funds. The company was founded on February 18, 1985 and is headquartered in Chadstone, Australia.</t>
        </is>
      </c>
      <c r="AC20" s="8" t="inlineStr">
        <is>
          <t>Equity REITs</t>
        </is>
      </c>
      <c r="AD20" s="8" t="inlineStr">
        <is>
          <t>Real Estate Investment Trusts (REITs)</t>
        </is>
      </c>
      <c r="AE20" s="8" t="inlineStr">
        <is>
          <t>Real Estate</t>
        </is>
      </c>
      <c r="AF20" s="12" t="inlineStr">
        <is>
          <t>Equity REITs</t>
        </is>
      </c>
      <c r="AH20" t="n">
        <v>5516</v>
      </c>
      <c r="AI20" t="n">
        <v>1</v>
      </c>
      <c r="AJ20">
        <f>== Table 6 (page 145) ===
"We reviewed a selection of performance metrics, as",,14  Gender 40:40:20 target,63:37:0</f>
        <v/>
      </c>
      <c r="AK20" t="n">
        <v>108143</v>
      </c>
      <c r="AL20" t="n">
        <v>1</v>
      </c>
      <c r="AM20" t="inlineStr">
        <is>
          <t>Total Scope 1 greenhouse gas (GHG) emissions,tCO2-e,"1,116",(28%),(53%)
Total Scope 2 GHG emissions,tCO2-e,"36,816",0%,(38%)
Total Scope 1 and Scope 2 GHG emissions,tCO2-e,"37,932",(1%),(38%)</t>
        </is>
      </c>
      <c r="AN20" t="n">
        <v>204469</v>
      </c>
      <c r="AO20" t="n">
        <v>1</v>
      </c>
      <c r="AP20" t="inlineStr">
        <is>
          <t>Total Scope 1 greenhouse gas (GHG) emissions,tCO2-e,"1,116",(28%),(53%)
Total Scope 2 GHG emissions,tCO2-e,"36,816",0%,(38%)
Total Scope 1 and Scope 2 GHG emissions,tCO2-e,"37,932",(1%),(38%)</t>
        </is>
      </c>
      <c r="AQ20" t="n">
        <v>17</v>
      </c>
      <c r="AR20" t="n">
        <v>0.755282</v>
      </c>
      <c r="AS20" t="n">
        <v>0.012781</v>
      </c>
    </row>
    <row r="21" ht="15" customHeight="1">
      <c r="A21" s="8" t="inlineStr">
        <is>
          <t>DXS-AU</t>
        </is>
      </c>
      <c r="B21" s="8" t="inlineStr">
        <is>
          <t>Dexus</t>
        </is>
      </c>
      <c r="C21" s="8" t="n"/>
      <c r="D21" s="8" t="inlineStr">
        <is>
          <t>KH</t>
        </is>
      </c>
      <c r="E21" s="8" t="inlineStr">
        <is>
          <t>Ramana James</t>
        </is>
      </c>
      <c r="F21" s="8" t="inlineStr">
        <is>
          <t>Invitation sent</t>
        </is>
      </c>
      <c r="G21" s="8" t="n"/>
      <c r="H21" s="8" t="n"/>
      <c r="I21" s="8" t="n"/>
      <c r="J21" s="8" t="n"/>
      <c r="K21" s="8" t="n"/>
      <c r="L21" s="8" t="n"/>
      <c r="M21" s="8" t="n"/>
      <c r="N21" s="17" t="n"/>
      <c r="O21" s="17" t="n"/>
      <c r="P21" s="17" t="n"/>
      <c r="Q21" s="17" t="n"/>
      <c r="R21" s="10">
        <f>IFERROR(_xlfn.XLOOKUP($A21,Profitability!$A$5:$A$342,Profitability!$Q$5:$Q$342),"na")</f>
        <v/>
      </c>
      <c r="S21" s="10">
        <f>IFERROR(_xlfn.XLOOKUP($A21,Profitability!$A$5:$A$342,Profitability!$R$5:$R$342),"na")</f>
        <v/>
      </c>
      <c r="T21" s="8" t="inlineStr">
        <is>
          <t>Public</t>
        </is>
      </c>
      <c r="U21" s="8" t="inlineStr">
        <is>
          <t>Australia</t>
        </is>
      </c>
      <c r="V21" s="9" t="n">
        <v>2004</v>
      </c>
      <c r="W21" s="10" t="n">
        <v>900</v>
      </c>
      <c r="X21" s="11" t="n">
        <v>1007.6</v>
      </c>
      <c r="Y21" s="8" t="inlineStr">
        <is>
          <t>Pacific</t>
        </is>
      </c>
      <c r="Z21" s="8" t="inlineStr">
        <is>
          <t>New South Wales (NSW)</t>
        </is>
      </c>
      <c r="AA21" s="11" t="n">
        <v>15388.6003792754</v>
      </c>
      <c r="AB21" s="8" t="inlineStr">
        <is>
          <t>Dexus engages in real estate investments, leasing, and tenant services. It operates through the following segments: Office, Industrial, Co-Investment, Property Management, Funds Management, Development and Trading, and All Other. The Office segment offers domestic space with any associated retail space, car parks, and developments. The Industrial segment consists of domestic industrial properties, industrial estates, and developments. The Co-Investment segment focuses on income distribution earned from investments in pooled real assets and funds. The Property Management segment provides management services for third party clients and owned assets. The Funds Management segment offers management of third-party client assets. The Development and Trading segment includes the revenue earned and costs incurred on developments and inventory. The All Other segment involves the corporate expenses associated with maintaining and operating, and the treasury function managed through a centralized treasury department. The company was founded in 2004 and is headquartered in Sydney, Australia.</t>
        </is>
      </c>
      <c r="AC21" s="8" t="inlineStr">
        <is>
          <t>Equity REITs</t>
        </is>
      </c>
      <c r="AD21" s="8" t="inlineStr">
        <is>
          <t>Real Estate Investment Trusts (REITs)</t>
        </is>
      </c>
      <c r="AE21" s="8" t="inlineStr">
        <is>
          <t>Real Estate</t>
        </is>
      </c>
      <c r="AF21" s="12" t="inlineStr">
        <is>
          <t>Equity REITs</t>
        </is>
      </c>
      <c r="AH21" t="n">
        <v>7669</v>
      </c>
      <c r="AI21" t="n">
        <v>1</v>
      </c>
      <c r="AJ21" t="inlineStr">
        <is>
          <t>Scope 1 GHG emissions,tCO2e,"7,669"</t>
        </is>
      </c>
      <c r="AK21" t="n">
        <v>0</v>
      </c>
      <c r="AL21" t="n">
        <v>1</v>
      </c>
      <c r="AM21" t="inlineStr">
        <is>
          <t>Scope 2 location-based GHG emissions,tCO2e,"90,686"</t>
        </is>
      </c>
      <c r="AN21" t="n">
        <v>26006</v>
      </c>
      <c r="AO21" t="n">
        <v>1</v>
      </c>
      <c r="AP21" t="inlineStr">
        <is>
          <t>Scope 3 location-based GHG emissions,tCO2e,"34,745"</t>
        </is>
      </c>
      <c r="AQ21" t="n">
        <v>22</v>
      </c>
      <c r="AR21" t="n">
        <v>0.003374</v>
      </c>
      <c r="AS21" t="n">
        <v>0.021834</v>
      </c>
    </row>
    <row r="22" ht="15" customHeight="1">
      <c r="A22" s="8" t="inlineStr">
        <is>
          <t>COH-AU</t>
        </is>
      </c>
      <c r="B22" s="8" t="inlineStr">
        <is>
          <t>Cochlear Ltd.</t>
        </is>
      </c>
      <c r="C22" s="8" t="n"/>
      <c r="D22" s="8" t="inlineStr">
        <is>
          <t>KH</t>
        </is>
      </c>
      <c r="E22" s="8" t="inlineStr">
        <is>
          <t>Michael Grasso</t>
        </is>
      </c>
      <c r="F22" s="8" t="inlineStr">
        <is>
          <t>Invitation sent</t>
        </is>
      </c>
      <c r="G22" s="8" t="n"/>
      <c r="H22" s="8" t="n"/>
      <c r="I22" s="8" t="n"/>
      <c r="J22" s="8" t="n"/>
      <c r="K22" s="8" t="n"/>
      <c r="L22" s="8" t="n"/>
      <c r="M22" s="8" t="n"/>
      <c r="N22" s="17" t="n"/>
      <c r="O22" s="17" t="n"/>
      <c r="P22" s="17" t="n"/>
      <c r="Q22" s="17" t="n"/>
      <c r="R22" s="10">
        <f>IFERROR(_xlfn.XLOOKUP($A22,Profitability!$A$5:$A$342,Profitability!$Q$5:$Q$342),"na")</f>
        <v/>
      </c>
      <c r="S22" s="10">
        <f>IFERROR(_xlfn.XLOOKUP($A22,Profitability!$A$5:$A$342,Profitability!$R$5:$R$342),"na")</f>
        <v/>
      </c>
      <c r="T22" s="8" t="inlineStr">
        <is>
          <t>Public</t>
        </is>
      </c>
      <c r="U22" s="8" t="inlineStr">
        <is>
          <t>Australia</t>
        </is>
      </c>
      <c r="V22" s="9" t="n">
        <v>1983</v>
      </c>
      <c r="W22" s="10" t="n">
        <v>5500</v>
      </c>
      <c r="X22" s="11" t="n">
        <v>2355.79999999999</v>
      </c>
      <c r="Y22" s="8" t="inlineStr">
        <is>
          <t>Pacific</t>
        </is>
      </c>
      <c r="Z22" s="8" t="inlineStr">
        <is>
          <t>New South Wales (NSW)</t>
        </is>
      </c>
      <c r="AA22" s="11" t="n">
        <v>2825.00006962642</v>
      </c>
      <c r="AB22" s="8" t="inlineStr">
        <is>
          <t>Cochlear Ltd. engages in the provision of implantable hearing solutions. The firm operates through the following geographical segments: Americas, EMEA, Asia Pacific, Corporate and Other. The company was founded by Michael S. Hirshorn in 1981 and is headquartered in Sydney, Australia.</t>
        </is>
      </c>
      <c r="AC22" s="8" t="inlineStr">
        <is>
          <t>Specialized Medical Devices</t>
        </is>
      </c>
      <c r="AD22" s="8" t="inlineStr">
        <is>
          <t>Other Medical Devices</t>
        </is>
      </c>
      <c r="AE22" s="8" t="inlineStr">
        <is>
          <t>Healthcare Equipment</t>
        </is>
      </c>
      <c r="AF22" s="12" t="inlineStr">
        <is>
          <t>Other Specialized Medical Devices</t>
        </is>
      </c>
      <c r="AH22" t="n">
        <v>951</v>
      </c>
      <c r="AI22" t="n">
        <v>1</v>
      </c>
      <c r="AJ22" t="inlineStr">
        <is>
          <t>pathway for adults,and services,"a culture of aspiration,",of initiatives to reduce our,,returns
,,"achievement, experimentation","Scope 1, 2 and 3 carbon",,
•  Develop the acoustic implant,•  Support recipient access to,,,•,Improve efficiency and agility</t>
        </is>
      </c>
      <c r="AK22" t="n">
        <v>1980</v>
      </c>
      <c r="AL22" t="n">
        <v>1</v>
      </c>
      <c r="AM22" t="inlineStr">
        <is>
          <t>,operate on 100% renewable energy. We are actively working to,,,
Scope 1 and Scope 2 emissions,,,,
,expand renewable energy use across all locations.,,,</t>
        </is>
      </c>
      <c r="AN22" t="n">
        <v>66616</v>
      </c>
      <c r="AO22" t="n">
        <v>1</v>
      </c>
      <c r="AP22" t="inlineStr">
        <is>
          <t>,"necessary to our operations, we are actively exploring viable",,,,,,,,,
,low-emission alternatives.,Scope 34,tCO2e,"66,616*","14,418","10,950","2,196",186,"4,774","18,630"
,,Carbon offsets5,tCO2e,"3,401","11,422","7,941","1,150",0,0,0</t>
        </is>
      </c>
      <c r="AQ22" t="n">
        <v>2</v>
      </c>
      <c r="AR22" t="n">
        <v>0.165082</v>
      </c>
      <c r="AS22" t="n">
        <v>0.000849</v>
      </c>
    </row>
    <row r="23" ht="15" customHeight="1">
      <c r="A23" s="8" t="inlineStr">
        <is>
          <t>CWP-AU</t>
        </is>
      </c>
      <c r="B23" s="8" t="inlineStr">
        <is>
          <t>Cedar Woods Properties Ltd.</t>
        </is>
      </c>
      <c r="C23" s="8" t="n"/>
      <c r="D23" s="8" t="inlineStr">
        <is>
          <t>KH</t>
        </is>
      </c>
      <c r="E23" s="8" t="inlineStr">
        <is>
          <t>Karl White</t>
        </is>
      </c>
      <c r="F23" s="8" t="inlineStr">
        <is>
          <t>Invitation sent</t>
        </is>
      </c>
      <c r="G23" s="8" t="n"/>
      <c r="H23" s="8" t="n"/>
      <c r="I23" s="8" t="n"/>
      <c r="J23" s="8" t="n"/>
      <c r="K23" s="8" t="n"/>
      <c r="L23" s="8" t="n"/>
      <c r="M23" s="8" t="n"/>
      <c r="N23" s="17" t="n"/>
      <c r="O23" s="17" t="n"/>
      <c r="P23" s="17" t="n"/>
      <c r="Q23" s="17" t="n"/>
      <c r="R23" s="10">
        <f>IFERROR(_xlfn.XLOOKUP($A23,Profitability!$A$5:$A$342,Profitability!$Q$5:$Q$342),"na")</f>
        <v/>
      </c>
      <c r="S23" s="10">
        <f>IFERROR(_xlfn.XLOOKUP($A23,Profitability!$A$5:$A$342,Profitability!$R$5:$R$342),"na")</f>
        <v/>
      </c>
      <c r="T23" s="8" t="inlineStr">
        <is>
          <t>Public</t>
        </is>
      </c>
      <c r="U23" s="8" t="inlineStr">
        <is>
          <t>Australia</t>
        </is>
      </c>
      <c r="V23" s="9" t="n">
        <v>1987</v>
      </c>
      <c r="W23" s="10" t="n">
        <v>93</v>
      </c>
      <c r="X23" s="11" t="n">
        <v>468.595</v>
      </c>
      <c r="Y23" s="8" t="inlineStr">
        <is>
          <t>Pacific</t>
        </is>
      </c>
      <c r="Z23" s="8" t="inlineStr">
        <is>
          <t>Western Australia (WA)</t>
        </is>
      </c>
      <c r="AA23" s="11" t="n">
        <v>857.684021138926</v>
      </c>
      <c r="AB23" s="8" t="inlineStr">
        <is>
          <t>Cedar Woods Properties Ltd. engages in property investment and development. The firm's principal interests are in urban land and built form development for residential, industrial and commercial purposes. Its projects include St. A in St Albans, Jackson Green in Clayton South, Williams Landing, Bushmead, Harrisdale Green, Ellendale, and Glenside. The company was founded by William George Hames and Ross James Neumann in 1987 and is headquartered in West Perth, Australia.</t>
        </is>
      </c>
      <c r="AC23" s="8" t="inlineStr">
        <is>
          <t>Other Real Estate Investment and Services</t>
        </is>
      </c>
      <c r="AD23" s="8" t="inlineStr">
        <is>
          <t>Real Estate Investment and Services</t>
        </is>
      </c>
      <c r="AE23" s="8" t="inlineStr">
        <is>
          <t>Real Estate</t>
        </is>
      </c>
      <c r="AF23" s="12" t="inlineStr">
        <is>
          <t>Real Estate Developers</t>
        </is>
      </c>
      <c r="AH23" t="n">
        <v>74</v>
      </c>
      <c r="AJ23" t="inlineStr">
        <is>
          <t>Reported as combined Scope 1 &amp; 2 net Greenhouse Gas Emissions (t-CO2-e).</t>
        </is>
      </c>
      <c r="AK23" t="n">
        <v>74</v>
      </c>
      <c r="AM23" t="inlineStr">
        <is>
          <t>Reported as combined Scope 1 &amp; 2 net Greenhouse Gas Emissions (t-CO2-e).</t>
        </is>
      </c>
      <c r="AN23" t="n">
        <v>0</v>
      </c>
      <c r="AP23" t="inlineStr">
        <is>
          <t>No specific Scope 3 total found.</t>
        </is>
      </c>
      <c r="AQ23" t="n">
        <v>0</v>
      </c>
      <c r="AR23" t="n">
        <v>0.102733</v>
      </c>
      <c r="AS23" t="n">
        <v>0</v>
      </c>
    </row>
    <row r="24" ht="15" customHeight="1">
      <c r="A24" s="8" t="inlineStr">
        <is>
          <t>CNI-AU</t>
        </is>
      </c>
      <c r="B24" s="8" t="inlineStr">
        <is>
          <t>Centuria Capital Group</t>
        </is>
      </c>
      <c r="C24" s="8" t="n"/>
      <c r="D24" s="8" t="inlineStr">
        <is>
          <t>KH</t>
        </is>
      </c>
      <c r="E24" s="8" t="inlineStr">
        <is>
          <t>Andrew Scerri</t>
        </is>
      </c>
      <c r="F24" s="8" t="inlineStr">
        <is>
          <t>Invitation sent</t>
        </is>
      </c>
      <c r="G24" s="8" t="n"/>
      <c r="H24" s="8" t="n"/>
      <c r="I24" s="8" t="n"/>
      <c r="J24" s="8" t="n"/>
      <c r="K24" s="8" t="n"/>
      <c r="L24" s="8" t="n"/>
      <c r="M24" s="8" t="n"/>
      <c r="N24" s="17" t="n"/>
      <c r="O24" s="17" t="n"/>
      <c r="P24" s="17" t="n"/>
      <c r="Q24" s="17" t="n"/>
      <c r="R24" s="10">
        <f>IFERROR(_xlfn.XLOOKUP($A24,Profitability!$A$5:$A$342,Profitability!$Q$5:$Q$342),"na")</f>
        <v/>
      </c>
      <c r="S24" s="10">
        <f>IFERROR(_xlfn.XLOOKUP($A24,Profitability!$A$5:$A$342,Profitability!$R$5:$R$342),"na")</f>
        <v/>
      </c>
      <c r="T24" s="8" t="inlineStr">
        <is>
          <t>Public</t>
        </is>
      </c>
      <c r="U24" s="8" t="inlineStr">
        <is>
          <t>Australia</t>
        </is>
      </c>
      <c r="V24" s="9" t="n">
        <v>1980</v>
      </c>
      <c r="W24" s="10" t="inlineStr">
        <is>
          <t>-</t>
        </is>
      </c>
      <c r="X24" s="11" t="n">
        <v>431.797</v>
      </c>
      <c r="Y24" s="8" t="inlineStr">
        <is>
          <t>Pacific</t>
        </is>
      </c>
      <c r="Z24" s="8" t="inlineStr">
        <is>
          <t>New South Wales (NSW)</t>
        </is>
      </c>
      <c r="AA24" s="11" t="n">
        <v>3586.88808840431</v>
      </c>
      <c r="AB24" s="8" t="inlineStr">
        <is>
          <t>Centuria Capital Group is funds manager company. It operates through the following segments: Property Funds, Co-Investments, Developments, Property &amp; Development Finance, Investment Bonds and Corporate. Property Funds Segment which specializes in listed and unlisted property funds. Co-Investments Segment provides direct interest in property funds, properties held for development and other liquid investments. Developments Segment gives completion of structured property developments which span sectors ranging from commercial office,industrial and health through to affordable housing and residential mixed use. Property and Development Finance Segment deals with provision of real estate secured non-bank finance for development projects, bridge finance and residual stock. Investment Bonds Segment including single and multi-premium investments. The company was founded in 1980 and is headquartered in Sydney, Australia.</t>
        </is>
      </c>
      <c r="AC24" s="8" t="inlineStr">
        <is>
          <t>Asset Management and Financial Advisory Services</t>
        </is>
      </c>
      <c r="AD24" s="8" t="inlineStr">
        <is>
          <t>Investment Services</t>
        </is>
      </c>
      <c r="AE24" s="8" t="inlineStr">
        <is>
          <t>Investment Services</t>
        </is>
      </c>
      <c r="AF24" s="12" t="inlineStr">
        <is>
          <t>Alternative Investment Managers</t>
        </is>
      </c>
      <c r="AQ24" t="n">
        <v>1</v>
      </c>
      <c r="AR24" t="n">
        <v>0.191518</v>
      </c>
      <c r="AS24" t="n">
        <v>0.002316</v>
      </c>
    </row>
    <row r="25" ht="15" customHeight="1">
      <c r="A25" s="8" t="inlineStr">
        <is>
          <t>CHC-AU</t>
        </is>
      </c>
      <c r="B25" s="8" t="inlineStr">
        <is>
          <t>Charter Hall Group</t>
        </is>
      </c>
      <c r="C25" s="8" t="n"/>
      <c r="D25" s="8" t="inlineStr">
        <is>
          <t>KH</t>
        </is>
      </c>
      <c r="E25" s="8" t="inlineStr">
        <is>
          <t>Janaki Dhagat</t>
        </is>
      </c>
      <c r="F25" s="8" t="inlineStr">
        <is>
          <t>Invitation sent</t>
        </is>
      </c>
      <c r="G25" s="8" t="n"/>
      <c r="H25" s="8" t="n"/>
      <c r="I25" s="8" t="n"/>
      <c r="J25" s="8" t="n"/>
      <c r="K25" s="8" t="n"/>
      <c r="L25" s="8" t="n"/>
      <c r="M25" s="8" t="n"/>
      <c r="N25" s="17" t="n"/>
      <c r="O25" s="17" t="n"/>
      <c r="P25" s="17" t="n"/>
      <c r="Q25" s="17" t="n"/>
      <c r="R25" s="10">
        <f>IFERROR(_xlfn.XLOOKUP($A25,Profitability!$A$5:$A$342,Profitability!$Q$5:$Q$342),"na")</f>
        <v/>
      </c>
      <c r="S25" s="10">
        <f>IFERROR(_xlfn.XLOOKUP($A25,Profitability!$A$5:$A$342,Profitability!$R$5:$R$342),"na")</f>
        <v/>
      </c>
      <c r="T25" s="8" t="inlineStr">
        <is>
          <t>Public</t>
        </is>
      </c>
      <c r="U25" s="8" t="inlineStr">
        <is>
          <t>Australia</t>
        </is>
      </c>
      <c r="V25" s="9" t="n">
        <v>1991</v>
      </c>
      <c r="W25" s="10" t="inlineStr">
        <is>
          <t>-</t>
        </is>
      </c>
      <c r="X25" s="11" t="n">
        <v>687.799999999999</v>
      </c>
      <c r="Y25" s="8" t="inlineStr">
        <is>
          <t>Pacific</t>
        </is>
      </c>
      <c r="Z25" s="8" t="inlineStr">
        <is>
          <t>New South Wales (NSW)</t>
        </is>
      </c>
      <c r="AA25" s="11" t="n">
        <v>3584.40008834298</v>
      </c>
      <c r="AB25" s="8" t="inlineStr">
        <is>
          <t>Charter Hall Group engages in managing and investing in office, retail, and industrial properties. It operates through the following segments: Property Investments, Development investments, and Funds Management. The Property Investments segment comprises an investment portfolio of property funds. The Development investments segment comprises investments in developments. The Funds Management segment offers investment management services and real estate management services. The company was founded by Cedric Fuchs and David John Southon in 1991 and is headquartered in Sydney, Australia.</t>
        </is>
      </c>
      <c r="AC25" s="8" t="inlineStr">
        <is>
          <t>Equity REITs</t>
        </is>
      </c>
      <c r="AD25" s="8" t="inlineStr">
        <is>
          <t>Real Estate Investment Trusts (REITs)</t>
        </is>
      </c>
      <c r="AE25" s="8" t="inlineStr">
        <is>
          <t>Real Estate</t>
        </is>
      </c>
      <c r="AF25" s="12" t="inlineStr">
        <is>
          <t>Equity REITs</t>
        </is>
      </c>
      <c r="AH25" t="n">
        <v>23741</v>
      </c>
      <c r="AI25" t="n">
        <v>0.9</v>
      </c>
      <c r="AJ25" t="inlineStr">
        <is>
          <t>,"we are signatories, and prioritises reducing energy",,
,,"centres increased from 0.5MW to 17.5MW, coupled with","St, 480 Swan St and 60 King William St, have all-electric"
reduction aligned to climate science.,"consumption, eliminating fossil fuels, and compensating",,</t>
        </is>
      </c>
      <c r="AK25" t="n">
        <v>100938</v>
      </c>
      <c r="AL25" t="n">
        <v>0.9</v>
      </c>
      <c r="AM25" t="inlineStr">
        <is>
          <t>In FY25 we achieved a 77% reduction,From 1 July our whole platform will,Nature-based carbon offsets,80% of the onsite solar across the,Achieved 48% waste diversion from
in net Scope 1 and Scope 2 emissions1,operate at 100% renewable energy,(9% of total Scope 1 and Scope 2,Group supplied tenants with clean,landfill across Office and Shopping
from our FY17 baseline.,supply in assets under operational,emissions) enabled us to achieve our,"energy, reducing our downstream",Centre Retail sites under operational</t>
        </is>
      </c>
      <c r="AN25" t="n">
        <v>280000</v>
      </c>
      <c r="AO25" t="n">
        <v>0.9</v>
      </c>
      <c r="AP25" t="inlineStr">
        <is>
          <t>,"we are signatories, and prioritises reducing energy",,
,,"centres increased from 0.5MW to 17.5MW, coupled with","St, 480 Swan St and 60 King William St, have all-electric"
reduction aligned to climate science.,"consumption, eliminating fossil fuels, and compensating",,</t>
        </is>
      </c>
      <c r="AQ25" t="n">
        <v>64</v>
      </c>
      <c r="AR25" t="n">
        <v>0.328293</v>
      </c>
      <c r="AS25" t="n">
        <v>0.09304999999999999</v>
      </c>
    </row>
    <row r="26" ht="15" customHeight="1">
      <c r="A26" s="8" t="inlineStr">
        <is>
          <t>SCG-AU</t>
        </is>
      </c>
      <c r="B26" s="8" t="inlineStr">
        <is>
          <t>Scentre Group</t>
        </is>
      </c>
      <c r="C26" s="8" t="n"/>
      <c r="D26" s="8" t="inlineStr">
        <is>
          <t>KH</t>
        </is>
      </c>
      <c r="E26" s="8" t="inlineStr">
        <is>
          <t>Katie Moran</t>
        </is>
      </c>
      <c r="F26" s="8" t="inlineStr">
        <is>
          <t>Invitation sent</t>
        </is>
      </c>
      <c r="G26" s="8" t="n"/>
      <c r="H26" s="8" t="n"/>
      <c r="I26" s="8" t="n"/>
      <c r="J26" s="8" t="n"/>
      <c r="K26" s="8" t="n"/>
      <c r="L26" s="8" t="n"/>
      <c r="M26" s="8" t="n"/>
      <c r="N26" s="17" t="n"/>
      <c r="O26" s="17" t="n"/>
      <c r="P26" s="10" t="n">
        <v>10046</v>
      </c>
      <c r="Q26" s="10" t="n">
        <v>179604</v>
      </c>
      <c r="R26" s="10">
        <f>IFERROR(_xlfn.XLOOKUP($A26,Profitability!$A$5:$A$342,Profitability!$Q$5:$Q$342),"na")</f>
        <v/>
      </c>
      <c r="S26" s="10">
        <f>IFERROR(_xlfn.XLOOKUP($A26,Profitability!$A$5:$A$342,Profitability!$R$5:$R$342),"na")</f>
        <v/>
      </c>
      <c r="T26" s="8" t="inlineStr">
        <is>
          <t>Public</t>
        </is>
      </c>
      <c r="U26" s="8" t="inlineStr">
        <is>
          <t>Australia</t>
        </is>
      </c>
      <c r="V26" s="9" t="n">
        <v>1959</v>
      </c>
      <c r="W26" s="10" t="n">
        <v>2860</v>
      </c>
      <c r="X26" s="11" t="n">
        <v>2637.1</v>
      </c>
      <c r="Y26" s="8" t="inlineStr">
        <is>
          <t>Pacific</t>
        </is>
      </c>
      <c r="Z26" s="8" t="inlineStr">
        <is>
          <t>New South Wales (NSW)</t>
        </is>
      </c>
      <c r="AA26" s="11" t="n">
        <v>36354.8988723343</v>
      </c>
      <c r="AB26" s="8" t="inlineStr">
        <is>
          <t>Scentre Group engages in the business of owning, managing, leasing, and developing Westfield destinations in Australia and New Zealand. It operates under the Property Investment, and Property Management and Construction segments. The Property Investment segment includes net property income from shopping centers. The Property Management and Construction segment focuses on external fee income from third parties primarily property management and development fees, and associated business expenses. The company was founded in July 1959 and is headquartered in Sydney, Australia.</t>
        </is>
      </c>
      <c r="AC26" s="8" t="inlineStr">
        <is>
          <t>Equity REITs</t>
        </is>
      </c>
      <c r="AD26" s="8" t="inlineStr">
        <is>
          <t>Real Estate Investment Trusts (REITs)</t>
        </is>
      </c>
      <c r="AE26" s="8" t="inlineStr">
        <is>
          <t>Real Estate</t>
        </is>
      </c>
      <c r="AF26" s="12" t="inlineStr">
        <is>
          <t>Equity REITs</t>
        </is>
      </c>
      <c r="AH26" t="n">
        <v>10211</v>
      </c>
      <c r="AI26" t="n">
        <v>1</v>
      </c>
      <c r="AJ26" t="inlineStr">
        <is>
          <t>"Scope 1 GHG emissions in tonnes of carbon dioxide
10,211",,►  National Greenhouse and Energy Reporting Act 2007 (for,,,
equivalent (tCO2-e),,,,,</t>
        </is>
      </c>
      <c r="AK26" t="n">
        <v>175110</v>
      </c>
      <c r="AL26" t="n">
        <v>1</v>
      </c>
      <c r="AM26" t="inlineStr">
        <is>
          <t>"Scope 2 GHG emissions as calculated using the
175,110",,,,,
,,GHG Protocol Corporate Standard,,,</t>
        </is>
      </c>
      <c r="AN26" t="n">
        <v>72655</v>
      </c>
      <c r="AO26" t="n">
        <v>1</v>
      </c>
      <c r="AP26" t="inlineStr">
        <is>
          <t>"Selected Scope 3 GHG emissions (limited to waste to
72,655",K,,,,
"landfill, purchased electricity, employee commute",ey responsibilities,,,,</t>
        </is>
      </c>
      <c r="AQ26" t="n">
        <v>0</v>
      </c>
      <c r="AR26" t="n">
        <v>0.398089</v>
      </c>
      <c r="AS26" t="n">
        <v>0</v>
      </c>
    </row>
    <row r="27" ht="15" customHeight="1">
      <c r="A27" s="8" t="inlineStr">
        <is>
          <t>S32-AU</t>
        </is>
      </c>
      <c r="B27" s="8" t="inlineStr">
        <is>
          <t>South32 Ltd.</t>
        </is>
      </c>
      <c r="C27" s="8" t="n"/>
      <c r="D27" s="8" t="inlineStr">
        <is>
          <t>KH</t>
        </is>
      </c>
      <c r="E27" s="8" t="inlineStr">
        <is>
          <t>Jazmin Searson</t>
        </is>
      </c>
      <c r="F27" s="8" t="inlineStr">
        <is>
          <t>Invitation sent</t>
        </is>
      </c>
      <c r="G27" s="8" t="n"/>
      <c r="H27" s="8" t="n"/>
      <c r="I27" s="8" t="n"/>
      <c r="J27" s="8" t="n"/>
      <c r="K27" s="8" t="n"/>
      <c r="L27" s="8" t="n"/>
      <c r="M27" s="8" t="n"/>
      <c r="N27" s="17" t="n"/>
      <c r="O27" s="17" t="n"/>
      <c r="P27" s="10" t="n">
        <v>5697621</v>
      </c>
      <c r="Q27" s="10" t="n">
        <v>308477</v>
      </c>
      <c r="R27" s="10">
        <f>IFERROR(_xlfn.XLOOKUP($A27,Profitability!$A$5:$A$342,Profitability!$Q$5:$Q$342),"na")</f>
        <v/>
      </c>
      <c r="S27" s="10">
        <f>IFERROR(_xlfn.XLOOKUP($A27,Profitability!$A$5:$A$342,Profitability!$R$5:$R$342),"na")</f>
        <v/>
      </c>
      <c r="T27" s="8" t="inlineStr">
        <is>
          <t>Public</t>
        </is>
      </c>
      <c r="U27" s="8" t="inlineStr">
        <is>
          <t>Australia</t>
        </is>
      </c>
      <c r="V27" s="9" t="n">
        <v>2000</v>
      </c>
      <c r="W27" s="10" t="n">
        <v>8892</v>
      </c>
      <c r="X27" s="11" t="n">
        <v>8924.83543030653</v>
      </c>
      <c r="Y27" s="8" t="inlineStr">
        <is>
          <t>Pacific</t>
        </is>
      </c>
      <c r="Z27" s="8" t="inlineStr">
        <is>
          <t>Western Australia (WA)</t>
        </is>
      </c>
      <c r="AA27" s="11" t="n">
        <v>20946.0598739749</v>
      </c>
      <c r="AB27" s="8" t="inlineStr">
        <is>
          <t>South32 Ltd. operates as a metal and mining company. It operates through the following segments: Worsley Alumina, Hillside Aluminium, Mozal Aluminium, Brazil Alumina, South Africa Energy Coal, Illawarra Metallurgical Coal, Eagle Downs Metallurgical Coal, Australia Manganese, South Africa Managanese, Cerro Matoso, Cannington, and Hermosa. The Worsley Alumina segment offers bauxite mine and alumina refinery in Western Australia. The Hillside Aluminium segment offers aluminium smelters at Richards Bay, South Africa. The Mozal Aluminium segment includes aluminium smelter in Mozambique. The Brazil Alumina segment covers alumina refinery in Brazil. The South Africa Energy Coal segment comprises of open-cut and underground energy coal mines and processing operations in South Africa. The Illawarra Metallurgical Coal segment consists of underground metallurgical coal mines in New South Wales, Australia. The Eagle Downs Metallurgical Coal segment involves in the exploration and development of metallurgical coal deposit in Queensland, Australia. The Australia Manganese segment produces manganese ore in the Northern Territory and manganese alloys in Tasmania. The South Africa Manganese segment involves in the production of ore and alloy in South Africa. The Cerro Matoso segment includes laterite ferronickel mining and smelting complex in Colombia. The Cannington segment explores silver, lead, and zinc. The Hermosa segment involves in exploration and development option for zinc, lead and silver sulphide deposit in Tucson, United States. The company was founded on July 12, 2000 and is headquartered in Perth, Australia.</t>
        </is>
      </c>
      <c r="AC27" s="8" t="inlineStr">
        <is>
          <t>Primary Metals Products</t>
        </is>
      </c>
      <c r="AD27" s="8" t="inlineStr">
        <is>
          <t>Metal Products</t>
        </is>
      </c>
      <c r="AE27" s="8" t="inlineStr">
        <is>
          <t>Mining and Mineral Products</t>
        </is>
      </c>
      <c r="AF27" s="12" t="inlineStr">
        <is>
          <t>Alumina and Aluminum Products Manufacturing</t>
        </is>
      </c>
      <c r="AH27" t="n">
        <v>7400000</v>
      </c>
      <c r="AI27" t="n">
        <v>1</v>
      </c>
      <c r="AJ27" t="inlineStr">
        <is>
          <t>Total high potential injuries,,
,0.2,
and illnesses frequency (HPIIF),,</t>
        </is>
      </c>
      <c r="AK27" t="n">
        <v>17300000</v>
      </c>
      <c r="AL27" t="n">
        <v>1</v>
      </c>
      <c r="AM27" t="inlineStr">
        <is>
          <t>US$10.5 million exceeded our target of US$3.63 million.,Worsley Alumina’s Scope 1 emissions and a 4.2% reduction in total
,"Scope 1 emissions42, both relative to FY21 levels. However, in FY25"
In Australia we are committed to increasing our procurement of,</t>
        </is>
      </c>
      <c r="AN27" t="n">
        <v>22700000</v>
      </c>
      <c r="AO27" t="n">
        <v>1</v>
      </c>
      <c r="AP27" t="inlineStr">
        <is>
          <t>Total high potential injuries,,
,0.2,
and illnesses frequency (HPIIF),,</t>
        </is>
      </c>
      <c r="AQ27" t="n">
        <v>15</v>
      </c>
      <c r="AR27" t="n">
        <v>0.055017</v>
      </c>
      <c r="AS27" t="n">
        <v>0.001681</v>
      </c>
    </row>
    <row r="28" ht="15" customHeight="1">
      <c r="A28" s="8" t="inlineStr">
        <is>
          <t>SHA-AU</t>
        </is>
      </c>
      <c r="B28" s="8" t="inlineStr">
        <is>
          <t>Shape Australia Corp. Ltd.</t>
        </is>
      </c>
      <c r="C28" s="8" t="n"/>
      <c r="D28" s="8" t="inlineStr">
        <is>
          <t>KH</t>
        </is>
      </c>
      <c r="E28" s="8" t="inlineStr">
        <is>
          <t>Shane Morgan</t>
        </is>
      </c>
      <c r="F28" s="8" t="inlineStr">
        <is>
          <t>Invitation sent</t>
        </is>
      </c>
      <c r="G28" s="8" t="n"/>
      <c r="H28" s="8" t="n"/>
      <c r="I28" s="8" t="n"/>
      <c r="J28" s="8" t="n"/>
      <c r="K28" s="8" t="n"/>
      <c r="L28" s="8" t="n"/>
      <c r="M28" s="8" t="n"/>
      <c r="N28" s="17" t="n"/>
      <c r="O28" s="17" t="n"/>
      <c r="P28" s="17" t="n"/>
      <c r="Q28" s="17" t="n"/>
      <c r="R28" s="10">
        <f>IFERROR(_xlfn.XLOOKUP($A28,Profitability!$A$5:$A$342,Profitability!$Q$5:$Q$342),"na")</f>
        <v/>
      </c>
      <c r="S28" s="10">
        <f>IFERROR(_xlfn.XLOOKUP($A28,Profitability!$A$5:$A$342,Profitability!$R$5:$R$342),"na")</f>
        <v/>
      </c>
      <c r="T28" s="8" t="inlineStr">
        <is>
          <t>Public</t>
        </is>
      </c>
      <c r="U28" s="8" t="inlineStr">
        <is>
          <t>Australia</t>
        </is>
      </c>
      <c r="V28" s="9" t="n">
        <v>2021</v>
      </c>
      <c r="W28" s="10" t="n">
        <v>686</v>
      </c>
      <c r="X28" s="11" t="n">
        <v>947.64</v>
      </c>
      <c r="Y28" s="8" t="inlineStr">
        <is>
          <t>Pacific</t>
        </is>
      </c>
      <c r="Z28" s="8" t="inlineStr">
        <is>
          <t>New South Wales (NSW)</t>
        </is>
      </c>
      <c r="AA28" s="11" t="n">
        <v>275.066006779419</v>
      </c>
      <c r="AB28" s="8" t="inlineStr">
        <is>
          <t>Shape Australia Corp. Ltd. operates an end-to-end service and delivery model across the project lifecycle, from new build, fit-out and refurbishment, and recurring minor works. The firm is focused on commercial fit-out and refurbishments, with select capabilities in new build. It acts as a head contractor on fit-out and refurbishment projects across Australia, with capabilities across a range of projects and services. The company was founded in 1989 and is headquartered in Sydney, Australia.</t>
        </is>
      </c>
      <c r="AC28" s="8" t="inlineStr">
        <is>
          <t>Specialty Contracting Services</t>
        </is>
      </c>
      <c r="AD28" s="8" t="inlineStr">
        <is>
          <t>Facilities and Construction Services</t>
        </is>
      </c>
      <c r="AE28" s="8" t="inlineStr">
        <is>
          <t>Industrial Services</t>
        </is>
      </c>
      <c r="AF28" s="12" t="inlineStr">
        <is>
          <t>Commercial Specialty Engineering Contractors</t>
        </is>
      </c>
      <c r="AQ28" t="n">
        <v>0</v>
      </c>
      <c r="AR28" t="n">
        <v>0.02229</v>
      </c>
      <c r="AS28" t="n">
        <v>0</v>
      </c>
    </row>
    <row r="29" ht="15" customHeight="1">
      <c r="A29" s="8" t="inlineStr">
        <is>
          <t>MQG-AU</t>
        </is>
      </c>
      <c r="B29" s="8" t="inlineStr">
        <is>
          <t>Macquarie Group Ltd.</t>
        </is>
      </c>
      <c r="C29" s="8" t="n"/>
      <c r="D29" s="8" t="inlineStr">
        <is>
          <t>KH</t>
        </is>
      </c>
      <c r="E29" s="8" t="inlineStr">
        <is>
          <t>Mary Ann van Bodegraven</t>
        </is>
      </c>
      <c r="F29" s="8" t="inlineStr">
        <is>
          <t>Invitation sent</t>
        </is>
      </c>
      <c r="G29" s="8" t="n"/>
      <c r="H29" s="8" t="n"/>
      <c r="I29" s="8" t="n"/>
      <c r="J29" s="8" t="n"/>
      <c r="K29" s="8" t="n"/>
      <c r="L29" s="8" t="n"/>
      <c r="M29" s="8" t="n"/>
      <c r="N29" s="17" t="n"/>
      <c r="O29" s="17" t="n"/>
      <c r="P29" s="17" t="n"/>
      <c r="Q29" s="17" t="n"/>
      <c r="R29" s="10">
        <f>IFERROR(_xlfn.XLOOKUP($A29,Profitability!$A$5:$A$342,Profitability!$Q$5:$Q$342),"na")</f>
        <v/>
      </c>
      <c r="S29" s="10">
        <f>IFERROR(_xlfn.XLOOKUP($A29,Profitability!$A$5:$A$342,Profitability!$R$5:$R$342),"na")</f>
        <v/>
      </c>
      <c r="T29" s="8" t="inlineStr">
        <is>
          <t>Public</t>
        </is>
      </c>
      <c r="U29" s="8" t="inlineStr">
        <is>
          <t>Australia</t>
        </is>
      </c>
      <c r="V29" s="9" t="n">
        <v>2006</v>
      </c>
      <c r="W29" s="10" t="n">
        <v>19735</v>
      </c>
      <c r="X29" s="11" t="n">
        <v>32008</v>
      </c>
      <c r="Y29" s="8" t="inlineStr">
        <is>
          <t>Pacific</t>
        </is>
      </c>
      <c r="Z29" s="8" t="inlineStr">
        <is>
          <t>New South Wales (NSW)</t>
        </is>
      </c>
      <c r="AA29" s="11" t="n">
        <v>446434.006394273</v>
      </c>
      <c r="AB29" s="8" t="inlineStr">
        <is>
          <t>Macquarie Group Ltd. operates as a non-operating holding company. The firm engages in the provision of banking, financial, advisory, investment and funds management services. It operates through the following segments: Macquarie Asset Management (MAM), Banking and Financial Services (BFS), Commodities and Global Markets (CGM), Macquarie Capital and Corporate. The MAM segment delivers investment solutions to clients across a range of capabilities, including infrastructure, real estate, agriculture, equities, fixed income, private credit, liquid alternatives, and multi-asset solutions. The BFS segment offers personal banking, wealth management, business banking, and vehicle finance products and services to retail clients, advisers, brokers and business clients. The CGM segment comprises of integrated, end-to-end offering across global markets including equities, fixed income, foreign exchange, and commodities. The Macquarie Capital segment includes capital solutions across products and sectors including infrastructure, green and conventional energy. The Corporate segment refers to the head office and central service groups, including group treasury and other investments. The company was founded on December 10, 1969 and is headquartered in Sydney, Australia.</t>
        </is>
      </c>
      <c r="AC29" s="8" t="inlineStr">
        <is>
          <t>Diversified Investment</t>
        </is>
      </c>
      <c r="AD29" s="8" t="inlineStr">
        <is>
          <t>Investment Services</t>
        </is>
      </c>
      <c r="AE29" s="8" t="inlineStr">
        <is>
          <t>Investment Services</t>
        </is>
      </c>
      <c r="AF29" s="12" t="inlineStr">
        <is>
          <t>Diversified Investment</t>
        </is>
      </c>
      <c r="AH29" t="n">
        <v>482</v>
      </c>
      <c r="AJ29" t="inlineStr">
        <is>
          <t>FY25 Scope 1 emissions (tCO2e).</t>
        </is>
      </c>
      <c r="AK29" t="n">
        <v>0</v>
      </c>
      <c r="AM29" t="inlineStr">
        <is>
          <t>FY25 Scope 2 emissions (tCO2e). Scope 2 emissions reduced to zero since FY2022 due to the purchase of 100% renewable electricity equivalent.</t>
        </is>
      </c>
      <c r="AN29" t="n">
        <v>227896</v>
      </c>
      <c r="AP29" t="inlineStr">
        <is>
          <t>FY25 Total Scope 3 (Categories 1-6 &amp; 8) operational emissions (tCO2e).</t>
        </is>
      </c>
      <c r="AQ29" t="n">
        <v>24</v>
      </c>
      <c r="AR29" t="n">
        <v>0.111941</v>
      </c>
      <c r="AS29" t="n">
        <v>0.00075</v>
      </c>
    </row>
    <row r="30" ht="15" customHeight="1">
      <c r="A30" s="8" t="inlineStr">
        <is>
          <t>Private</t>
        </is>
      </c>
      <c r="B30" s="8" t="inlineStr">
        <is>
          <t>CDC</t>
        </is>
      </c>
      <c r="C30" s="8" t="n"/>
      <c r="D30" s="8" t="inlineStr">
        <is>
          <t>KH</t>
        </is>
      </c>
      <c r="E30" s="8" t="inlineStr">
        <is>
          <t>Nicholas Blay</t>
        </is>
      </c>
      <c r="F30" s="8" t="inlineStr">
        <is>
          <t>Invitation sent</t>
        </is>
      </c>
      <c r="G30" s="8" t="n"/>
      <c r="H30" s="8" t="n"/>
      <c r="I30" s="8" t="n"/>
      <c r="J30" s="8" t="n"/>
      <c r="K30" s="8" t="n"/>
      <c r="L30" s="8" t="n"/>
      <c r="M30" s="8" t="n"/>
      <c r="N30" s="17" t="n"/>
      <c r="O30" s="17" t="n"/>
      <c r="P30" s="10" t="n"/>
      <c r="Q30" s="10" t="n"/>
      <c r="R30" s="10">
        <f>IFERROR(_xlfn.XLOOKUP($A30,Profitability!$A$5:$A$342,Profitability!$Q$5:$Q$342),"na")</f>
        <v/>
      </c>
      <c r="S30" s="10">
        <f>IFERROR(_xlfn.XLOOKUP($A30,Profitability!$A$5:$A$342,Profitability!$R$5:$R$342),"na")</f>
        <v/>
      </c>
      <c r="T30" s="8" t="n"/>
      <c r="U30" s="8" t="n"/>
      <c r="V30" s="9" t="n"/>
      <c r="W30" s="10" t="n"/>
      <c r="X30" s="11" t="n"/>
      <c r="Y30" s="8" t="n"/>
      <c r="Z30" s="8" t="n"/>
      <c r="AA30" s="11" t="n"/>
      <c r="AB30" s="8" t="n"/>
      <c r="AC30" s="8" t="n"/>
      <c r="AD30" s="8" t="n"/>
      <c r="AE30" s="8" t="n"/>
      <c r="AF30" s="12" t="n"/>
      <c r="AH30" t="n">
        <v>929</v>
      </c>
      <c r="AI30" t="n">
        <v>1</v>
      </c>
      <c r="AJ30" t="inlineStr">
        <is>
          <t>,when compared to on-premises energy,,external partners and their suppliers
the early vision for the company.,,"carbon by 2030 for Scope 1, 2 and",
,"consumption. At the same time, the data",,for their important role in driving a</t>
        </is>
      </c>
      <c r="AK30" t="n">
        <v>78601</v>
      </c>
      <c r="AL30" t="n">
        <v>1</v>
      </c>
      <c r="AM30" t="inlineStr">
        <is>
          <t>,,is a particularly pertinent challenge in countries like,
,an average Water Usage Effectiveness of 0.01. CDC’s closed-loop chilled water system consumes almost,,
,,"Australia, where severe droughts can significantly",This innovation is considered a genuine game</t>
        </is>
      </c>
      <c r="AN30" t="n">
        <v>0</v>
      </c>
      <c r="AQ30" t="n">
        <v>13</v>
      </c>
    </row>
    <row r="31" ht="15" customHeight="1">
      <c r="A31" s="8" t="inlineStr">
        <is>
          <t>ING-AU</t>
        </is>
      </c>
      <c r="B31" s="8" t="inlineStr">
        <is>
          <t>Inghams Group Ltd.</t>
        </is>
      </c>
      <c r="D31" s="8" t="inlineStr">
        <is>
          <t>KH</t>
        </is>
      </c>
      <c r="E31" s="8" t="inlineStr">
        <is>
          <t>Naomi Martin</t>
        </is>
      </c>
      <c r="F31" s="8" t="inlineStr">
        <is>
          <t>Invitation sent</t>
        </is>
      </c>
      <c r="G31" s="8" t="n"/>
      <c r="H31" s="8" t="n"/>
      <c r="I31" s="8" t="n"/>
      <c r="J31" s="8" t="n"/>
      <c r="K31" s="8" t="n"/>
      <c r="L31" s="8" t="n"/>
      <c r="M31" s="8" t="n"/>
      <c r="N31" s="17" t="n"/>
      <c r="O31" s="17" t="n"/>
      <c r="P31" s="10" t="n">
        <v>63131</v>
      </c>
      <c r="Q31" s="10" t="n">
        <v>131449</v>
      </c>
      <c r="R31" s="10">
        <f>IFERROR(_xlfn.XLOOKUP($A31,Profitability!$A$5:$A$342,Profitability!$Q$5:$Q$342),"na")</f>
        <v/>
      </c>
      <c r="S31" s="10">
        <f>IFERROR(_xlfn.XLOOKUP($A31,Profitability!$A$5:$A$342,Profitability!$R$5:$R$342),"na")</f>
        <v/>
      </c>
      <c r="T31" s="8" t="inlineStr">
        <is>
          <t>Public</t>
        </is>
      </c>
      <c r="U31" s="8" t="inlineStr">
        <is>
          <t>Australia</t>
        </is>
      </c>
      <c r="V31" s="9" t="n">
        <v>2013</v>
      </c>
      <c r="W31" s="10" t="inlineStr">
        <is>
          <t>-</t>
        </is>
      </c>
      <c r="X31" s="11" t="n">
        <v>3152.39999999999</v>
      </c>
      <c r="Y31" s="8" t="inlineStr">
        <is>
          <t>Pacific</t>
        </is>
      </c>
      <c r="Z31" s="8" t="inlineStr">
        <is>
          <t>New South Wales (NSW)</t>
        </is>
      </c>
      <c r="AA31" s="11" t="n">
        <v>2364.30005827176</v>
      </c>
      <c r="AB31" s="8" t="inlineStr">
        <is>
          <t>Inghams Group Ltd. engages in the production and sale of chicken and turkey products. It operates through the Australia and New Zealand geographical segment. The company was founded in 1918 and is headquartered in North Ryde, Australia.</t>
        </is>
      </c>
      <c r="AC31" s="8" t="inlineStr">
        <is>
          <t>Food Production</t>
        </is>
      </c>
      <c r="AD31" s="8" t="inlineStr">
        <is>
          <t>Food and Beverage Production</t>
        </is>
      </c>
      <c r="AE31" s="8" t="inlineStr">
        <is>
          <t>Food and Tobacco Production</t>
        </is>
      </c>
      <c r="AF31" s="12" t="inlineStr">
        <is>
          <t>Meat and Seafood Production</t>
        </is>
      </c>
      <c r="AH31" t="n">
        <v>55812</v>
      </c>
      <c r="AI31" t="n">
        <v>1</v>
      </c>
      <c r="AJ31" t="inlineStr">
        <is>
          <t>Scope 1 GHG emissions (tCO2-eq),"55,812"</t>
        </is>
      </c>
      <c r="AK31" t="n">
        <v>128861</v>
      </c>
      <c r="AL31" t="n">
        <v>1</v>
      </c>
      <c r="AM31" t="inlineStr">
        <is>
          <t>Scope 2 GHG emissions (tCO2-eq) (location based),"128,861"</t>
        </is>
      </c>
      <c r="AN31" t="n">
        <v>0</v>
      </c>
      <c r="AO31" t="n">
        <v>0.95</v>
      </c>
      <c r="AP31" t="inlineStr">
        <is>
          <t>Production (t),"1,993,887"
Scope 1 GHG emissions (tCO2-eq),"55,812"
Scope 2 GHG emissions (tCO2-eq) (location based),"128,861"</t>
        </is>
      </c>
      <c r="AQ31" t="n">
        <v>0</v>
      </c>
      <c r="AR31" t="n">
        <v>0.028488</v>
      </c>
      <c r="AS31" t="n">
        <v>0</v>
      </c>
    </row>
    <row r="32" ht="15" customHeight="1">
      <c r="A32" s="8" t="inlineStr">
        <is>
          <t>DCFCQ-US</t>
        </is>
      </c>
      <c r="B32" s="8" t="inlineStr">
        <is>
          <t>Tritium DCFC Ltd.</t>
        </is>
      </c>
      <c r="C32" s="8" t="inlineStr">
        <is>
          <t>I thought they went into liquidation? Or was it just administration</t>
        </is>
      </c>
      <c r="D32" s="8" t="inlineStr">
        <is>
          <t>KH</t>
        </is>
      </c>
      <c r="E32" s="8" t="inlineStr">
        <is>
          <t>Sean Simmons</t>
        </is>
      </c>
      <c r="F32" s="8" t="inlineStr">
        <is>
          <t>Invitation sent</t>
        </is>
      </c>
      <c r="G32" s="8" t="n"/>
      <c r="H32" s="8" t="n"/>
      <c r="I32" s="8" t="n"/>
      <c r="J32" s="8" t="n"/>
      <c r="K32" s="8" t="n"/>
      <c r="L32" s="8" t="n"/>
      <c r="M32" s="8" t="n"/>
      <c r="N32" s="17" t="n"/>
      <c r="O32" s="17" t="n"/>
      <c r="P32" s="17" t="n"/>
      <c r="Q32" s="17" t="n"/>
      <c r="R32" s="10">
        <f>IFERROR(_xlfn.XLOOKUP($A32,Profitability!$A$5:$A$342,Profitability!$Q$5:$Q$342),"na")</f>
        <v/>
      </c>
      <c r="S32" s="10">
        <f>IFERROR(_xlfn.XLOOKUP($A32,Profitability!$A$5:$A$342,Profitability!$R$5:$R$342),"na")</f>
        <v/>
      </c>
      <c r="T32" s="8" t="inlineStr">
        <is>
          <t>Public</t>
        </is>
      </c>
      <c r="U32" s="8" t="inlineStr">
        <is>
          <t>Australia</t>
        </is>
      </c>
      <c r="V32" s="9" t="n">
        <v>2021</v>
      </c>
      <c r="W32" s="10" t="n">
        <v>1001</v>
      </c>
      <c r="X32" s="11" t="n">
        <v>274.354551695762</v>
      </c>
      <c r="Y32" s="8" t="inlineStr">
        <is>
          <t>Pacific</t>
        </is>
      </c>
      <c r="Z32" s="8" t="inlineStr">
        <is>
          <t>Queensland (QLD)</t>
        </is>
      </c>
      <c r="AA32" s="11" t="n">
        <v>413.394426500412</v>
      </c>
      <c r="AB32" s="8" t="inlineStr">
        <is>
          <t>Tritium DCFC Ltd. designs and manufactures proprietary hardware and software to develop direct current chargers for electric vehicles. It operates through the following segments: Hardware, Software, and Service and Maintenance. The company was founded by David Finn, Paul Serina and James Kennedy on May 7, 2021 and is headquartered in Murarrie, Australia.</t>
        </is>
      </c>
      <c r="AC32" s="8" t="inlineStr">
        <is>
          <t>Commercial and Industrial Electric Products</t>
        </is>
      </c>
      <c r="AD32" s="8" t="inlineStr">
        <is>
          <t>Electrical Equipment and Power Systems</t>
        </is>
      </c>
      <c r="AE32" s="8" t="inlineStr">
        <is>
          <t>Industrial Manufacturing</t>
        </is>
      </c>
      <c r="AF32" s="12" t="inlineStr">
        <is>
          <t>General Industrial Electrical Products</t>
        </is>
      </c>
    </row>
    <row r="33" ht="15" customHeight="1">
      <c r="A33" s="8" t="inlineStr">
        <is>
          <t>TLS-AU</t>
        </is>
      </c>
      <c r="B33" s="8" t="inlineStr">
        <is>
          <t>Telstra Group Ltd.</t>
        </is>
      </c>
      <c r="C33" s="8" t="n"/>
      <c r="D33" s="8" t="inlineStr">
        <is>
          <t>KH</t>
        </is>
      </c>
      <c r="E33" s="8" t="inlineStr">
        <is>
          <t>Justine Rowe</t>
        </is>
      </c>
      <c r="F33" s="8" t="inlineStr">
        <is>
          <t>Invitation sent</t>
        </is>
      </c>
      <c r="G33" s="8" t="n"/>
      <c r="H33" s="8" t="n"/>
      <c r="I33" s="8" t="n"/>
      <c r="J33" s="8" t="n"/>
      <c r="K33" s="8" t="n"/>
      <c r="L33" s="8" t="n"/>
      <c r="M33" s="8" t="n"/>
      <c r="N33" s="17" t="n"/>
      <c r="O33" s="17" t="n"/>
      <c r="P33" s="10" t="n">
        <v>32771</v>
      </c>
      <c r="Q33" s="10" t="n">
        <v>757967</v>
      </c>
      <c r="R33" s="10">
        <f>IFERROR(_xlfn.XLOOKUP($A33,Profitability!$A$5:$A$342,Profitability!$Q$5:$Q$342),"na")</f>
        <v/>
      </c>
      <c r="S33" s="10">
        <f>IFERROR(_xlfn.XLOOKUP($A33,Profitability!$A$5:$A$342,Profitability!$R$5:$R$342),"na")</f>
        <v/>
      </c>
      <c r="T33" s="8" t="inlineStr">
        <is>
          <t>Public</t>
        </is>
      </c>
      <c r="U33" s="8" t="inlineStr">
        <is>
          <t>Australia</t>
        </is>
      </c>
      <c r="V33" s="9" t="n">
        <v>1992</v>
      </c>
      <c r="W33" s="10" t="n">
        <v>30553</v>
      </c>
      <c r="X33" s="11" t="n">
        <v>23125</v>
      </c>
      <c r="Y33" s="8" t="inlineStr">
        <is>
          <t>Pacific</t>
        </is>
      </c>
      <c r="Z33" s="8" t="inlineStr">
        <is>
          <t>Victoria (VIC)</t>
        </is>
      </c>
      <c r="AA33" s="11" t="n">
        <v>44968.0011083046</v>
      </c>
      <c r="AB33" s="8" t="inlineStr">
        <is>
          <t>Telstra Group Ltd. engages in the provision of telecommunications and technology services. It operates through the following segments: Telstra Consumer and Small Business (TC&amp;SB), Telstra Enterprise (TE), Networks and IT (N&amp;IT), Telstra InfraCo, and All Other. The TC&amp;SB segment consists of telecommunication, media, and technology products and services to consumer and small business customers, using mobile and fixed network technologies. The TE segment offers telecommunication services, technology solutions, network capacity and management, unified communications, cloud, security, industry solutions, and monitoring services to government and large enterprise. The N&amp;IT segment maintains reliability and security network platforms and data. Telstra InfraCo covers telecommunication products and services delivered over Telstra networks to other carriers, carriage service providers, and internet service providers. The company was founded in 1992 and is headquartered in Melbourne, Australia.</t>
        </is>
      </c>
      <c r="AC33" s="8" t="inlineStr">
        <is>
          <t>Pan-Asia/Pacific Mixed Telecommunications Services</t>
        </is>
      </c>
      <c r="AD33" s="8" t="inlineStr">
        <is>
          <t>General Telecommunications Services</t>
        </is>
      </c>
      <c r="AE33" s="8" t="inlineStr">
        <is>
          <t>Telecommunications</t>
        </is>
      </c>
      <c r="AF33" s="12" t="inlineStr">
        <is>
          <t>Australia/New Zealand Mixed Telecom Services</t>
        </is>
      </c>
      <c r="AH33" t="n">
        <v>31794</v>
      </c>
      <c r="AJ33" t="inlineStr">
        <is>
          <t>FY25 Scope 1 total emissions (tCO2e). Calculated using location-based methodology for S1&amp;S2.</t>
        </is>
      </c>
      <c r="AK33" t="n">
        <v>703989</v>
      </c>
      <c r="AM33" t="inlineStr">
        <is>
          <t>FY25 Scope 2 total emissions (tCO2e). Calculated using location-based methodology for S1&amp;S2.</t>
        </is>
      </c>
      <c r="AN33" t="n">
        <v>1454930</v>
      </c>
      <c r="AP33" t="inlineStr">
        <is>
          <t>FY25 Scope 3 total emissions (tCO2e) (aligned to GHG protocol).</t>
        </is>
      </c>
      <c r="AQ33" t="n">
        <v>6</v>
      </c>
      <c r="AR33" t="n">
        <v>0.09392399999999999</v>
      </c>
      <c r="AS33" t="n">
        <v>0.000259</v>
      </c>
    </row>
    <row r="34" ht="15" customHeight="1">
      <c r="A34" s="8" t="inlineStr">
        <is>
          <t>LLC-AU</t>
        </is>
      </c>
      <c r="B34" s="8" t="inlineStr">
        <is>
          <t>Lendlease Group</t>
        </is>
      </c>
      <c r="C34" s="8" t="n"/>
      <c r="D34" s="8" t="inlineStr">
        <is>
          <t>KH</t>
        </is>
      </c>
      <c r="E34" s="8" t="inlineStr">
        <is>
          <t>Darryl Stuckey</t>
        </is>
      </c>
      <c r="F34" s="8" t="inlineStr">
        <is>
          <t>Request message sent</t>
        </is>
      </c>
      <c r="G34" s="8" t="n"/>
      <c r="H34" s="8" t="n"/>
      <c r="I34" s="8" t="n"/>
      <c r="J34" s="8" t="n"/>
      <c r="K34" s="8" t="n"/>
      <c r="L34" s="8" t="n"/>
      <c r="M34" s="8" t="n"/>
      <c r="N34" s="17" t="n"/>
      <c r="O34" s="17" t="n"/>
      <c r="P34" s="10" t="n">
        <v>15951</v>
      </c>
      <c r="Q34" s="10" t="n">
        <v>79159</v>
      </c>
      <c r="R34" s="10">
        <f>IFERROR(_xlfn.XLOOKUP($A34,Profitability!$A$5:$A$342,Profitability!$Q$5:$Q$342),"na")</f>
        <v/>
      </c>
      <c r="S34" s="10">
        <f>IFERROR(_xlfn.XLOOKUP($A34,Profitability!$A$5:$A$342,Profitability!$R$5:$R$342),"na")</f>
        <v/>
      </c>
      <c r="T34" s="8" t="inlineStr">
        <is>
          <t>Public</t>
        </is>
      </c>
      <c r="U34" s="8" t="inlineStr">
        <is>
          <t>Australia</t>
        </is>
      </c>
      <c r="V34" s="9" t="n">
        <v>1958</v>
      </c>
      <c r="W34" s="10" t="inlineStr">
        <is>
          <t>-</t>
        </is>
      </c>
      <c r="X34" s="11" t="n">
        <v>7785.99999999999</v>
      </c>
      <c r="Y34" s="8" t="inlineStr">
        <is>
          <t>Pacific</t>
        </is>
      </c>
      <c r="Z34" s="8" t="inlineStr">
        <is>
          <t>New South Wales (NSW)</t>
        </is>
      </c>
      <c r="AA34" s="11" t="n">
        <v>14562.0003589026</v>
      </c>
      <c r="AB34" s="8" t="inlineStr">
        <is>
          <t>Lendlease Group operates as a property and infrastructure development company. It engages in designing, developing, constructing, funding, owning, co-investing or managing property, and infrastructure assets. The firm operates through the following segments: Investments, Development, Construction, and Capital Release Unit. The Investments segment includes an investment management platform and the group's ownership interests in residential, office, retail, industrial, retirement and infrastructure investment assets. The Development segment includes the development of inner-city mixed-use developments, apartments, communities, retirement, retail, commercial assets and social and economic infrastructure. The Construction segment includes the provision of project management, design and construction services, predominantly in the commercial, residential, mixed use, defense, and social infrastructure sectors. The Capital Release Unit segment includes overseas construction operations, overseas development projects, the group’s residual ownership interest in retirement assets and the US Military Housing business, Australian communities projects and the retained engineering and services projects. The company was founded by Gerardus Jozef Dusseldorp in 1957 and is headquartered in Barangaroo, Australia.</t>
        </is>
      </c>
      <c r="AC34" s="8" t="inlineStr">
        <is>
          <t>Infrastructure Construction/Contracting Services</t>
        </is>
      </c>
      <c r="AD34" s="8" t="inlineStr">
        <is>
          <t>Facilities and Construction Services</t>
        </is>
      </c>
      <c r="AE34" s="8" t="inlineStr">
        <is>
          <t>Industrial Services</t>
        </is>
      </c>
      <c r="AF34" s="12" t="inlineStr">
        <is>
          <t>Diverse Construction and Engineering Services</t>
        </is>
      </c>
      <c r="AH34" t="n">
        <v>23715</v>
      </c>
      <c r="AJ34" t="inlineStr">
        <is>
          <t>FY25 Gross Scope 1 Emissions (tCO2-eq).</t>
        </is>
      </c>
      <c r="AK34" t="n">
        <v>0</v>
      </c>
      <c r="AM34" t="inlineStr">
        <is>
          <t>FY25 Gross Scope 2 Emissions (Market-based Method) (tCO2-eq). Market-based emissions resulted in zero due to application of renewable electricity purchases/offsets.</t>
        </is>
      </c>
      <c r="AN34" t="n">
        <v>1353639</v>
      </c>
      <c r="AP34" t="inlineStr">
        <is>
          <t>FY25 Total Scope 3 Emissions (tCO2-eq).</t>
        </is>
      </c>
      <c r="AQ34" t="n">
        <v>0</v>
      </c>
      <c r="AR34" t="n">
        <v>0.028898</v>
      </c>
      <c r="AS34" t="n">
        <v>0</v>
      </c>
    </row>
    <row r="35" ht="15" customHeight="1">
      <c r="A35" s="8" t="inlineStr">
        <is>
          <t>NXT-AU</t>
        </is>
      </c>
      <c r="B35" s="8" t="inlineStr">
        <is>
          <t>NextDC Ltd.</t>
        </is>
      </c>
      <c r="C35" s="8" t="n"/>
      <c r="D35" s="8" t="inlineStr">
        <is>
          <t>KH</t>
        </is>
      </c>
      <c r="E35" s="8" t="inlineStr">
        <is>
          <t>Nishi Vissamraju</t>
        </is>
      </c>
      <c r="F35" s="8" t="inlineStr">
        <is>
          <t>Request message sent</t>
        </is>
      </c>
      <c r="G35" s="8" t="n"/>
      <c r="H35" s="8" t="n"/>
      <c r="I35" s="8" t="n"/>
      <c r="J35" s="8" t="n"/>
      <c r="K35" s="8" t="n"/>
      <c r="L35" s="8" t="n"/>
      <c r="M35" s="8" t="n"/>
      <c r="N35" s="17" t="n"/>
      <c r="O35" s="17" t="n"/>
      <c r="P35" s="10" t="n">
        <v>1614</v>
      </c>
      <c r="Q35" s="10" t="n">
        <v>335627</v>
      </c>
      <c r="R35" s="10">
        <f>IFERROR(_xlfn.XLOOKUP($A35,Profitability!$A$5:$A$342,Profitability!$Q$5:$Q$342),"na")</f>
        <v/>
      </c>
      <c r="S35" s="10">
        <f>IFERROR(_xlfn.XLOOKUP($A35,Profitability!$A$5:$A$342,Profitability!$R$5:$R$342),"na")</f>
        <v/>
      </c>
      <c r="T35" s="8" t="inlineStr">
        <is>
          <t>Public</t>
        </is>
      </c>
      <c r="U35" s="8" t="inlineStr">
        <is>
          <t>Australia</t>
        </is>
      </c>
      <c r="V35" s="9" t="n">
        <v>2010</v>
      </c>
      <c r="W35" s="10" t="n">
        <v>310</v>
      </c>
      <c r="X35" s="11" t="n">
        <v>427.209</v>
      </c>
      <c r="Y35" s="8" t="inlineStr">
        <is>
          <t>Pacific</t>
        </is>
      </c>
      <c r="Z35" s="8" t="inlineStr">
        <is>
          <t>Queensland (QLD)</t>
        </is>
      </c>
      <c r="AA35" s="11" t="n">
        <v>5688.68714020634</v>
      </c>
      <c r="AB35" s="8" t="inlineStr">
        <is>
          <t>NextDC Ltd. engages in the operation and development of data centers. It operates through the following segments: Vic, NSW/ACT, Rest of Australia, International, and Other. The company was founded by Bevan Andrew Slattery on May 11, 2010, and is headquartered in Brisbane, Australia.</t>
        </is>
      </c>
      <c r="AC35" s="8" t="inlineStr">
        <is>
          <t>Internet Hosting Services</t>
        </is>
      </c>
      <c r="AD35" s="8" t="inlineStr">
        <is>
          <t>Internet and Data Services</t>
        </is>
      </c>
      <c r="AE35" s="8" t="inlineStr">
        <is>
          <t>Software and Consulting</t>
        </is>
      </c>
      <c r="AF35" s="12" t="inlineStr">
        <is>
          <t>Colocation and Data Center Services</t>
        </is>
      </c>
      <c r="AH35" t="n">
        <v>7927</v>
      </c>
      <c r="AI35" t="n">
        <v>1</v>
      </c>
      <c r="AJ35" t="inlineStr">
        <is>
          <t>,,,,,,,
Climate,"In FY25, our Scope 1 emissions totalled 7,927 tCO2-e,",emission,emission,,,,
,primarily driven by diesel consumption for backup,source,source,,,,</t>
        </is>
      </c>
      <c r="AK35" t="n">
        <v>358348</v>
      </c>
      <c r="AL35" t="n">
        <v>1</v>
      </c>
      <c r="AM35" t="inlineStr">
        <is>
          <t>,environmental,,,,
,0,,,,Social highlights
,,,,,</t>
        </is>
      </c>
      <c r="AN35" t="n">
        <v>0</v>
      </c>
      <c r="AQ35" t="n">
        <v>13</v>
      </c>
      <c r="AR35" t="n">
        <v>-0.141718</v>
      </c>
      <c r="AS35" t="n">
        <v>0.03043</v>
      </c>
    </row>
    <row r="36" ht="15" customHeight="1">
      <c r="A36" s="8" t="inlineStr">
        <is>
          <t>PRN-AU</t>
        </is>
      </c>
      <c r="B36" s="8" t="inlineStr">
        <is>
          <t>Perenti Ltd.</t>
        </is>
      </c>
      <c r="C36" s="8" t="n"/>
      <c r="D36" s="8" t="inlineStr">
        <is>
          <t>Vishal</t>
        </is>
      </c>
      <c r="E36" s="8" t="inlineStr">
        <is>
          <t>Darren Batchler</t>
        </is>
      </c>
      <c r="F36" s="8" t="inlineStr">
        <is>
          <t>Request message sent</t>
        </is>
      </c>
      <c r="G36" s="8" t="n"/>
      <c r="H36" s="8" t="n"/>
      <c r="I36" s="8" t="n"/>
      <c r="J36" s="8" t="n"/>
      <c r="K36" s="8" t="n"/>
      <c r="L36" s="8" t="n"/>
      <c r="M36" s="8" t="n"/>
      <c r="N36" s="17" t="n"/>
      <c r="O36" s="17" t="n"/>
      <c r="P36" s="17" t="n"/>
      <c r="Q36" s="17" t="n"/>
      <c r="R36" s="10">
        <f>IFERROR(_xlfn.XLOOKUP($A36,Profitability!$A$5:$A$342,Profitability!$Q$5:$Q$342),"na")</f>
        <v/>
      </c>
      <c r="S36" s="10">
        <f>IFERROR(_xlfn.XLOOKUP($A36,Profitability!$A$5:$A$342,Profitability!$R$5:$R$342),"na")</f>
        <v/>
      </c>
      <c r="T36" s="8" t="inlineStr">
        <is>
          <t>Public</t>
        </is>
      </c>
      <c r="U36" s="8" t="inlineStr">
        <is>
          <t>Australia</t>
        </is>
      </c>
      <c r="V36" s="9" t="n">
        <v>1986</v>
      </c>
      <c r="W36" s="10" t="n">
        <v>10290</v>
      </c>
      <c r="X36" s="11" t="n">
        <v>3489.546</v>
      </c>
      <c r="Y36" s="8" t="inlineStr">
        <is>
          <t>Pacific</t>
        </is>
      </c>
      <c r="Z36" s="8" t="inlineStr">
        <is>
          <t>Western Australia (WA)</t>
        </is>
      </c>
      <c r="AA36" s="11" t="n">
        <v>3416.69208420956</v>
      </c>
      <c r="AB36" s="8" t="inlineStr">
        <is>
          <t>Perenti Ltd. is a mining and energy services company, which engages in the provision of exploration, mine development, surfacing and underground mining, and energy and infrastructure services. It operates through the following segments: Contract Mining, Drilling Services, Mining and Technology Services, and Corporate. The Contract Mining segment provides underground and surface contract mining services. The Drilling Services segment offers drilling services across all stages of the mine life cycle. The Mining and Technology Services segment includes equipment hire, equipment parts and sales, supply of equipment, logistics services, and technology driven products and services. The Corporate segment focuses on corporate activity covering strategy, treasury, accounting, human resources, information technology, procurement, legal, risk, investor relations, and other corporate administration. The company was founded by James Edward Askew and Ronald George Sayers in 1987 and is headquartered in Perth, Australia.</t>
        </is>
      </c>
      <c r="AC36" s="8" t="inlineStr">
        <is>
          <t>Specialty Contracting Services</t>
        </is>
      </c>
      <c r="AD36" s="8" t="inlineStr">
        <is>
          <t>Facilities and Construction Services</t>
        </is>
      </c>
      <c r="AE36" s="8" t="inlineStr">
        <is>
          <t>Industrial Services</t>
        </is>
      </c>
      <c r="AF36" s="12" t="inlineStr">
        <is>
          <t>Industrial Specialty Engineering Contractors</t>
        </is>
      </c>
      <c r="AH36" t="n">
        <v>2004</v>
      </c>
      <c r="AI36" t="n">
        <v>1</v>
      </c>
      <c r="AJ36" t="inlineStr">
        <is>
          <t>,,OUR SUSTAINABILITY TARGETS,,,
,,,female executive and,,scope 1 and 2
,,,,,</t>
        </is>
      </c>
      <c r="AK36" t="n">
        <v>2969</v>
      </c>
      <c r="AL36" t="n">
        <v>1</v>
      </c>
      <c r="AM36" t="inlineStr">
        <is>
          <t>Greenhouse gas emissions – Scope 2 (market-based),"1,834 tonnes CO2-e"
Greenhouse gas emissions – Scope 2 (location-based),"2,969 tonnes CO2-e"</t>
        </is>
      </c>
      <c r="AN36" t="n">
        <v>0</v>
      </c>
      <c r="AO36" t="n">
        <v>0.9</v>
      </c>
      <c r="AP36" t="inlineStr">
        <is>
          <t>,,OUR SUSTAINABILITY TARGETS,,,
,,,female executive and,,scope 1 and 2
,,,,,</t>
        </is>
      </c>
      <c r="AQ36" t="n">
        <v>8</v>
      </c>
      <c r="AR36" t="n">
        <v>0.034565</v>
      </c>
      <c r="AS36" t="n">
        <v>0.002293</v>
      </c>
    </row>
    <row r="37" ht="15" customHeight="1">
      <c r="A37" s="8" t="inlineStr">
        <is>
          <t>NCK-AU</t>
        </is>
      </c>
      <c r="B37" s="8" t="inlineStr">
        <is>
          <t>Nick Scali Ltd.</t>
        </is>
      </c>
      <c r="C37" s="8" t="n"/>
      <c r="D37" s="8" t="inlineStr">
        <is>
          <t>Vishal</t>
        </is>
      </c>
      <c r="E37" s="8" t="inlineStr">
        <is>
          <t>Angus McDonald</t>
        </is>
      </c>
      <c r="F37" s="8" t="inlineStr">
        <is>
          <t>Request message sent</t>
        </is>
      </c>
      <c r="G37" s="8" t="n"/>
      <c r="H37" s="8" t="n"/>
      <c r="I37" s="8" t="n"/>
      <c r="J37" s="8" t="n"/>
      <c r="K37" s="8" t="n"/>
      <c r="L37" s="8" t="n"/>
      <c r="M37" s="8" t="n"/>
      <c r="N37" s="17" t="n"/>
      <c r="O37" s="17" t="n"/>
      <c r="P37" s="17" t="n"/>
      <c r="Q37" s="17" t="n"/>
      <c r="R37" s="10">
        <f>IFERROR(_xlfn.XLOOKUP($A37,Profitability!$A$5:$A$342,Profitability!$Q$5:$Q$342),"na")</f>
        <v/>
      </c>
      <c r="S37" s="10">
        <f>IFERROR(_xlfn.XLOOKUP($A37,Profitability!$A$5:$A$342,Profitability!$R$5:$R$342),"na")</f>
        <v/>
      </c>
      <c r="T37" s="8" t="inlineStr">
        <is>
          <t>Public</t>
        </is>
      </c>
      <c r="U37" s="8" t="inlineStr">
        <is>
          <t>Australia</t>
        </is>
      </c>
      <c r="V37" s="9" t="n">
        <v>1962</v>
      </c>
      <c r="W37" s="10" t="n">
        <v>850</v>
      </c>
      <c r="X37" s="11" t="n">
        <v>495.282999999999</v>
      </c>
      <c r="Y37" s="8" t="inlineStr">
        <is>
          <t>Pacific</t>
        </is>
      </c>
      <c r="Z37" s="8" t="inlineStr">
        <is>
          <t>New South Wales (NSW)</t>
        </is>
      </c>
      <c r="AA37" s="11" t="n">
        <v>705.807017395686</v>
      </c>
      <c r="AB37" s="8" t="inlineStr">
        <is>
          <t>Nick Scali Ltd. engages in the sourcing and retailing of household furniture and related accessories. It offers sofas and armchairs, rugs and accessories, and furniture for living, dining, and bedroom. The company was founded by Nicodemo Domenico Scali in 1962 and is headquartered in North Ryde, Australia.</t>
        </is>
      </c>
      <c r="AC37" s="8" t="inlineStr">
        <is>
          <t>Furniture and Home Furnishings Stores</t>
        </is>
      </c>
      <c r="AD37" s="8" t="inlineStr">
        <is>
          <t>Home Improvement Retail</t>
        </is>
      </c>
      <c r="AE37" s="8" t="inlineStr">
        <is>
          <t>Consumer Retail</t>
        </is>
      </c>
      <c r="AF37" s="12" t="inlineStr">
        <is>
          <t>Furniture Stores</t>
        </is>
      </c>
      <c r="AQ37" t="n">
        <v>0</v>
      </c>
      <c r="AR37" t="n">
        <v>0.116451</v>
      </c>
      <c r="AS37" t="n">
        <v>0</v>
      </c>
    </row>
    <row r="38" ht="15" customHeight="1">
      <c r="A38" s="8" t="inlineStr">
        <is>
          <t>STO-AU</t>
        </is>
      </c>
      <c r="B38" s="8" t="inlineStr">
        <is>
          <t>Santos Ltd.</t>
        </is>
      </c>
      <c r="C38" s="8" t="n"/>
      <c r="D38" s="8" t="inlineStr">
        <is>
          <t>Vishal</t>
        </is>
      </c>
      <c r="E38" s="22" t="inlineStr">
        <is>
          <t>James Murphy</t>
        </is>
      </c>
      <c r="F38" s="8" t="inlineStr">
        <is>
          <t>Request message sent</t>
        </is>
      </c>
      <c r="G38" s="8" t="n"/>
      <c r="H38" s="8" t="n"/>
      <c r="I38" s="8" t="n"/>
      <c r="J38" s="8" t="n"/>
      <c r="K38" s="8" t="n"/>
      <c r="L38" s="8" t="n"/>
      <c r="M38" s="8" t="n">
        <v>2024</v>
      </c>
      <c r="N38" s="20">
        <f>4.44*10^6</f>
        <v/>
      </c>
      <c r="O38" s="20">
        <f>0.8*10^6</f>
        <v/>
      </c>
      <c r="P38" s="10" t="n">
        <v>4233840</v>
      </c>
      <c r="Q38" s="10" t="n">
        <v>733963</v>
      </c>
      <c r="R38" s="10">
        <f>IFERROR(_xlfn.XLOOKUP($A38,Profitability!$A$5:$A$342,Profitability!$Q$5:$Q$342),"na")</f>
        <v/>
      </c>
      <c r="S38" s="10">
        <f>IFERROR(_xlfn.XLOOKUP($A38,Profitability!$A$5:$A$342,Profitability!$R$5:$R$342),"na")</f>
        <v/>
      </c>
      <c r="T38" s="8" t="inlineStr">
        <is>
          <t>Public</t>
        </is>
      </c>
      <c r="U38" s="8" t="inlineStr">
        <is>
          <t>Australia</t>
        </is>
      </c>
      <c r="V38" s="9" t="n">
        <v>1954</v>
      </c>
      <c r="W38" s="10" t="n">
        <v>3958</v>
      </c>
      <c r="X38" s="11" t="n">
        <v>8298.9809567543</v>
      </c>
      <c r="Y38" s="8" t="inlineStr">
        <is>
          <t>Pacific</t>
        </is>
      </c>
      <c r="Z38" s="8" t="inlineStr">
        <is>
          <t>South Australia (SA)</t>
        </is>
      </c>
      <c r="AA38" s="11" t="n">
        <v>49855.4454375894</v>
      </c>
      <c r="AB38" s="8" t="inlineStr">
        <is>
          <t>Santos Ltd. engages in the exploration, development, transportation, and marketing of natural gas. It operates through the following segments: Cooper Basin, Queensland and New South Wales, Papua New Guinea, Northern Australia and Timor-Leste, and Western Australia. The company was founded by Reg Sprigg, John Bonython, and Douglas Mawson on March 18, 1954 and is headquartered in Adelaide, Australia.</t>
        </is>
      </c>
      <c r="AC38" s="8" t="inlineStr">
        <is>
          <t>Other Pipeline and Energy Storage Services</t>
        </is>
      </c>
      <c r="AD38" s="8" t="inlineStr">
        <is>
          <t>Midstream Energy</t>
        </is>
      </c>
      <c r="AE38" s="8" t="inlineStr">
        <is>
          <t>Downstream and Midstream Energy</t>
        </is>
      </c>
      <c r="AF38" s="12" t="inlineStr">
        <is>
          <t>Other Pipeline and Energy Storage Services</t>
        </is>
      </c>
      <c r="AH38" t="n">
        <v>4440000</v>
      </c>
      <c r="AJ38" t="inlineStr">
        <is>
          <t>2024 Gross operated Scope 1 greenhouse gas emissions (4.44 MtCO2e).</t>
        </is>
      </c>
      <c r="AK38" t="n">
        <v>800000</v>
      </c>
      <c r="AM38" t="inlineStr">
        <is>
          <t>2024 Gross operated Scope 2 greenhouse gas emissions (0.80 MtCO2e).</t>
        </is>
      </c>
      <c r="AN38" t="n">
        <v>29900000</v>
      </c>
      <c r="AP38" t="inlineStr">
        <is>
          <t>2024 Total Scope 3 emissions (29.9 MtCO2e).</t>
        </is>
      </c>
      <c r="AQ38" t="n">
        <v>4</v>
      </c>
      <c r="AR38" t="n">
        <v>0.223602</v>
      </c>
      <c r="AS38" t="n">
        <v>0.000482</v>
      </c>
    </row>
    <row r="39" ht="15" customHeight="1">
      <c r="A39" s="8" t="inlineStr">
        <is>
          <t>KAR-AU</t>
        </is>
      </c>
      <c r="B39" s="8" t="inlineStr">
        <is>
          <t>Karoon Energy Ltd.</t>
        </is>
      </c>
      <c r="C39" s="8" t="n"/>
      <c r="D39" s="8" t="inlineStr">
        <is>
          <t>Vishal</t>
        </is>
      </c>
      <c r="E39" s="8" t="inlineStr">
        <is>
          <t>Oscar Brooks</t>
        </is>
      </c>
      <c r="F39" s="8" t="inlineStr">
        <is>
          <t>Request message sent</t>
        </is>
      </c>
      <c r="G39" s="8" t="n"/>
      <c r="H39" s="8" t="n"/>
      <c r="I39" s="8" t="n"/>
      <c r="J39" s="8" t="n"/>
      <c r="K39" s="8" t="n"/>
      <c r="L39" s="8" t="n"/>
      <c r="M39" s="8" t="n"/>
      <c r="N39" s="17" t="n"/>
      <c r="O39" s="17" t="n"/>
      <c r="P39" s="17" t="n"/>
      <c r="Q39" s="17" t="n"/>
      <c r="R39" s="10">
        <f>IFERROR(_xlfn.XLOOKUP($A39,Profitability!$A$5:$A$342,Profitability!$Q$5:$Q$342),"na")</f>
        <v/>
      </c>
      <c r="S39" s="10">
        <f>IFERROR(_xlfn.XLOOKUP($A39,Profitability!$A$5:$A$342,Profitability!$R$5:$R$342),"na")</f>
        <v/>
      </c>
      <c r="T39" s="8" t="inlineStr">
        <is>
          <t>Public</t>
        </is>
      </c>
      <c r="U39" s="8" t="inlineStr">
        <is>
          <t>Australia</t>
        </is>
      </c>
      <c r="V39" s="9" t="n">
        <v>2003</v>
      </c>
      <c r="W39" s="10" t="inlineStr">
        <is>
          <t>-</t>
        </is>
      </c>
      <c r="X39" s="11" t="n">
        <v>1177.23030926557</v>
      </c>
      <c r="Y39" s="8" t="inlineStr">
        <is>
          <t>Pacific</t>
        </is>
      </c>
      <c r="Z39" s="8" t="inlineStr">
        <is>
          <t>Victoria (VIC)</t>
        </is>
      </c>
      <c r="AA39" s="11" t="n">
        <v>3135.75052860826</v>
      </c>
      <c r="AB39" s="8" t="inlineStr">
        <is>
          <t>Karoon Energy Ltd. is an oil and gas exploration company, which engages in oil and gas production, development assets, and providing energy. It operates through the following geographical segments: Australia, Brazil, U.S.A., and All Other. The Australia segment is involved in the exploration and evaluation of hydrocarbons. The Brazil segment refers to the exploration, development, and production of hydrocarbons. The U.S.A segment focuses on the acquisition of LLOG interests in the Mississippi Canyon Blocks in the Gulf of Mexico. The All Other segment relates to the closure of its Peruvian branches. The company was founded by Robert Michael Hosking on November 11, 2003 and is headquartered in Southbank, Australia.</t>
        </is>
      </c>
      <c r="AC39" s="8" t="inlineStr">
        <is>
          <t>Americas Fossil Fuel Exploration and Production</t>
        </is>
      </c>
      <c r="AD39" s="8" t="inlineStr">
        <is>
          <t>Fossil Fuel Exploration and Production</t>
        </is>
      </c>
      <c r="AE39" s="8" t="inlineStr">
        <is>
          <t>Upstream Energy</t>
        </is>
      </c>
      <c r="AF39" s="12" t="inlineStr">
        <is>
          <t>Other Americas Fossil Fuel Exploration/Production</t>
        </is>
      </c>
      <c r="AH39" t="n">
        <v>127937</v>
      </c>
      <c r="AI39" t="n">
        <v>1</v>
      </c>
      <c r="AJ39" t="inlineStr">
        <is>
          <t>140,000"
Carbon Neutral for Scope 1 and,"125,732
127,996"</t>
        </is>
      </c>
      <c r="AK39" t="n">
        <v>59</v>
      </c>
      <c r="AL39" t="n">
        <v>1</v>
      </c>
      <c r="AM39" t="inlineStr">
        <is>
          <t>140,000"
Carbon Neutral for Scope 1 and,"125,732
127,996"</t>
        </is>
      </c>
      <c r="AN39" t="n">
        <v>4651475</v>
      </c>
      <c r="AO39" t="n">
        <v>1</v>
      </c>
      <c r="AP39" t="inlineStr">
        <is>
          <t>Scope 2 Offset,129,38,55,-
"Scope 3 emissions (tCO2e)7,8,9,10,11,12","1,000,886","2,679,198","3,941,858","4,651,475"
Category 1 – Purchased Goods and Services,-,"34,644","27,693","30,148"</t>
        </is>
      </c>
      <c r="AQ39" t="n">
        <v>15</v>
      </c>
      <c r="AR39" t="n">
        <v>0.164198</v>
      </c>
      <c r="AS39" t="n">
        <v>0.012742</v>
      </c>
    </row>
    <row r="40" ht="15" customHeight="1">
      <c r="A40" s="8" t="inlineStr">
        <is>
          <t>TRS-AU</t>
        </is>
      </c>
      <c r="B40" s="8" t="inlineStr">
        <is>
          <t>The Reject Shop Ltd.</t>
        </is>
      </c>
      <c r="C40" s="8" t="n"/>
      <c r="D40" s="8" t="inlineStr">
        <is>
          <t>Vishal</t>
        </is>
      </c>
      <c r="E40" s="8" t="inlineStr">
        <is>
          <t>navroop kaur sidhu</t>
        </is>
      </c>
      <c r="F40" s="8" t="inlineStr">
        <is>
          <t>Request message sent</t>
        </is>
      </c>
      <c r="G40" s="8" t="n"/>
      <c r="H40" s="8" t="n"/>
      <c r="I40" s="8" t="n"/>
      <c r="J40" s="8" t="n"/>
      <c r="K40" s="8" t="n"/>
      <c r="L40" s="8" t="n"/>
      <c r="M40" s="8" t="n"/>
      <c r="N40" s="17" t="n"/>
      <c r="O40" s="17" t="n"/>
      <c r="P40" s="17" t="n"/>
      <c r="Q40" s="17" t="n"/>
      <c r="R40" s="10">
        <f>IFERROR(_xlfn.XLOOKUP($A40,Profitability!$A$5:$A$342,Profitability!$Q$5:$Q$342),"na")</f>
        <v/>
      </c>
      <c r="S40" s="10">
        <f>IFERROR(_xlfn.XLOOKUP($A40,Profitability!$A$5:$A$342,Profitability!$R$5:$R$342),"na")</f>
        <v/>
      </c>
      <c r="T40" s="8" t="inlineStr">
        <is>
          <t>Public</t>
        </is>
      </c>
      <c r="U40" s="8" t="inlineStr">
        <is>
          <t>Australia</t>
        </is>
      </c>
      <c r="V40" s="9" t="n">
        <v>1983</v>
      </c>
      <c r="W40" s="10" t="n">
        <v>4000</v>
      </c>
      <c r="X40" s="11" t="n">
        <v>852.736</v>
      </c>
      <c r="Y40" s="8" t="inlineStr">
        <is>
          <t>Pacific</t>
        </is>
      </c>
      <c r="Z40" s="8" t="inlineStr">
        <is>
          <t>Victoria (VIC)</t>
        </is>
      </c>
      <c r="AA40" s="11" t="n">
        <v>492.714996273185</v>
      </c>
      <c r="AB40" s="8" t="inlineStr">
        <is>
          <t>The Reject Shop Ltd. engages in retailing discount variety merchandise. It offers general consumer merchandise such as toiletries, cosmetics, homeware, personal care products, hardware, basic furniture, household cleaning products, kitchenware, confectionery, snack food, lifestyle and seasonal merchandise, such as seasonal gifts, cards and wrapping, toys, leisure items and home decorations. The company was founded by Ron Hall and John Shuster in 1981 and is headquartered in Kensington, Australia.</t>
        </is>
      </c>
      <c r="AC40" s="8" t="inlineStr">
        <is>
          <t>Discount Stores</t>
        </is>
      </c>
      <c r="AD40" s="8" t="inlineStr">
        <is>
          <t>General Merchandise Retail</t>
        </is>
      </c>
      <c r="AE40" s="8" t="inlineStr">
        <is>
          <t>Food and Staples Retail</t>
        </is>
      </c>
      <c r="AF40" s="12" t="inlineStr">
        <is>
          <t>General Discount Stores</t>
        </is>
      </c>
      <c r="AR40" t="n">
        <v>0.005527</v>
      </c>
    </row>
    <row r="41" ht="15" customHeight="1">
      <c r="A41" s="8" t="inlineStr">
        <is>
          <t>SFR-AU</t>
        </is>
      </c>
      <c r="B41" s="8" t="inlineStr">
        <is>
          <t>Sandfire Resources Ltd.</t>
        </is>
      </c>
      <c r="C41" s="8" t="n"/>
      <c r="D41" s="8" t="inlineStr">
        <is>
          <t>Vishal</t>
        </is>
      </c>
      <c r="E41" s="8" t="inlineStr">
        <is>
          <t>Jared Jacob &amp; Brendon Harris</t>
        </is>
      </c>
      <c r="F41" s="8" t="inlineStr">
        <is>
          <t>Request message sent</t>
        </is>
      </c>
      <c r="G41" s="8" t="n"/>
      <c r="H41" s="8" t="n"/>
      <c r="I41" s="8" t="n"/>
      <c r="J41" s="8" t="n"/>
      <c r="K41" s="8" t="n"/>
      <c r="L41" s="8" t="n"/>
      <c r="M41" s="8" t="n"/>
      <c r="N41" s="17" t="n"/>
      <c r="O41" s="17" t="n"/>
      <c r="P41" s="17" t="n"/>
      <c r="Q41" s="17" t="n"/>
      <c r="R41" s="10">
        <f>IFERROR(_xlfn.XLOOKUP($A41,Profitability!$A$5:$A$342,Profitability!$Q$5:$Q$342),"na")</f>
        <v/>
      </c>
      <c r="S41" s="10">
        <f>IFERROR(_xlfn.XLOOKUP($A41,Profitability!$A$5:$A$342,Profitability!$R$5:$R$342),"na")</f>
        <v/>
      </c>
      <c r="T41" s="8" t="inlineStr">
        <is>
          <t>Public</t>
        </is>
      </c>
      <c r="U41" s="8" t="inlineStr">
        <is>
          <t>Australia</t>
        </is>
      </c>
      <c r="V41" s="9" t="n">
        <v>2003</v>
      </c>
      <c r="W41" s="10" t="n">
        <v>5468</v>
      </c>
      <c r="X41" s="11" t="n">
        <v>1830.33242601674</v>
      </c>
      <c r="Y41" s="8" t="inlineStr">
        <is>
          <t>Pacific</t>
        </is>
      </c>
      <c r="Z41" s="8" t="inlineStr">
        <is>
          <t>Western Australia (WA)</t>
        </is>
      </c>
      <c r="AA41" s="11" t="n">
        <v>4483.39219109595</v>
      </c>
      <c r="AB41" s="8" t="inlineStr">
        <is>
          <t>Sandfire Resources Ltd. engages in the production and sale of copper, gold, and silver. It operates through the following segments: DeGrussa Copper Operations, MATSA Copper Operations, Black Butte Project, Motheo Copper Project, and Exploration and Other. The DeGrussa Copper Operations segment is involved in both the DeGrussa and Monty Copper-Gold mines in the Bryah basin. The company was founded on June 18, 2003 and is headquartered in West Perth, Australia.</t>
        </is>
      </c>
      <c r="AC41" s="8" t="inlineStr">
        <is>
          <t>Base Metal Mining</t>
        </is>
      </c>
      <c r="AD41" s="8" t="inlineStr">
        <is>
          <t>Metal Ore Mining</t>
        </is>
      </c>
      <c r="AE41" s="8" t="inlineStr">
        <is>
          <t>Mining and Mineral Products</t>
        </is>
      </c>
      <c r="AF41" s="12" t="inlineStr">
        <is>
          <t>Non-Ferrous Metal Ore Mining</t>
        </is>
      </c>
      <c r="AH41" t="n">
        <v>127075</v>
      </c>
      <c r="AI41" t="n">
        <v>1</v>
      </c>
      <c r="AJ41" t="inlineStr">
        <is>
          <t>,,,,,,,"Sandfire
Scope 1 - Diesel (tCO2e)","123,967","108,769",14%
5,,,,,,,Group,,,</t>
        </is>
      </c>
      <c r="AK41" t="n">
        <v>207796</v>
      </c>
      <c r="AL41" t="n">
        <v>1</v>
      </c>
      <c r="AM41" t="inlineStr">
        <is>
          <t>35,,,,,,,Scope 1 - Other (tCO2e),894,709,26%
,,,,,,,Scope 2 - Market-based (tCO2e),0,0,N/A
,,,,,,,Scope 2 - Location-based (tCO2e),"82,288","73,272",12%</t>
        </is>
      </c>
      <c r="AN41" t="n">
        <v>718487</v>
      </c>
      <c r="AO41" t="n">
        <v>0.95</v>
      </c>
      <c r="AP41">
        <f>== Table 6 (page 51) ===
factors that are aligned with our company jurisdictional footprint. This has resulted in an increase in our disclosed Scope 3 GHG emissions.,,
Processing of Sold Products (Category 10) and Purchased Goods and Services (Category 1) remain the most significant contributing,,</f>
        <v/>
      </c>
      <c r="AQ41" t="n">
        <v>20</v>
      </c>
      <c r="AR41" t="n">
        <v>0.078668</v>
      </c>
      <c r="AS41" t="n">
        <v>0.010927</v>
      </c>
    </row>
    <row r="42" ht="15" customHeight="1">
      <c r="A42" s="8" t="inlineStr">
        <is>
          <t>SSG-AU</t>
        </is>
      </c>
      <c r="B42" s="8" t="inlineStr">
        <is>
          <t>Shaver Shop Group Ltd.</t>
        </is>
      </c>
      <c r="C42" s="8" t="inlineStr">
        <is>
          <t>Can't remember who but someone knows the owner of this in our cohort I think</t>
        </is>
      </c>
      <c r="E42" s="8" t="n"/>
      <c r="F42" s="8" t="n"/>
      <c r="G42" s="8" t="n"/>
      <c r="H42" s="8" t="n"/>
      <c r="I42" s="8" t="n"/>
      <c r="J42" s="8" t="n"/>
      <c r="K42" s="8" t="n"/>
      <c r="L42" s="8" t="n"/>
      <c r="M42" s="8" t="n"/>
      <c r="N42" s="17" t="n"/>
      <c r="O42" s="17" t="n"/>
      <c r="P42" s="17" t="n"/>
      <c r="Q42" s="17" t="n"/>
      <c r="R42" s="10">
        <f>IFERROR(_xlfn.XLOOKUP($A42,Profitability!$A$5:$A$342,Profitability!$Q$5:$Q$342),"na")</f>
        <v/>
      </c>
      <c r="S42" s="10">
        <f>IFERROR(_xlfn.XLOOKUP($A42,Profitability!$A$5:$A$342,Profitability!$R$5:$R$342),"na")</f>
        <v/>
      </c>
      <c r="T42" s="8" t="inlineStr">
        <is>
          <t>Public</t>
        </is>
      </c>
      <c r="U42" s="8" t="inlineStr">
        <is>
          <t>Australia</t>
        </is>
      </c>
      <c r="V42" s="9" t="n">
        <v>2011</v>
      </c>
      <c r="W42" s="10" t="n">
        <v>750</v>
      </c>
      <c r="X42" s="11" t="n">
        <v>218.598274</v>
      </c>
      <c r="Y42" s="8" t="inlineStr">
        <is>
          <t>Pacific</t>
        </is>
      </c>
      <c r="Z42" s="8" t="inlineStr">
        <is>
          <t>Victoria (VIC)</t>
        </is>
      </c>
      <c r="AA42" s="11" t="n">
        <v>146.099804600851</v>
      </c>
      <c r="AB42" s="8" t="inlineStr">
        <is>
          <t>Shaver Shop Group Ltd. engages in selling personal grooming products through their corporate and online stores. It offers oral care, hair care, massage, air treatment, and beauty products. The company was founded in 1986 and is headquartered in Chadstone, Australia.</t>
        </is>
      </c>
      <c r="AC42" s="8" t="inlineStr">
        <is>
          <t>General Health and Personal Care Retail</t>
        </is>
      </c>
      <c r="AD42" s="8" t="inlineStr">
        <is>
          <t>Health and Personal Care Retail</t>
        </is>
      </c>
      <c r="AE42" s="8" t="inlineStr">
        <is>
          <t>Food and Staples Retail</t>
        </is>
      </c>
      <c r="AF42" s="12" t="inlineStr">
        <is>
          <t>Mixed Health and Personal Care Stores</t>
        </is>
      </c>
      <c r="AQ42" t="n">
        <v>0</v>
      </c>
      <c r="AR42" t="n">
        <v>0.068269</v>
      </c>
      <c r="AS42" t="n">
        <v>0</v>
      </c>
    </row>
    <row r="43" ht="15" customHeight="1">
      <c r="A43" s="8" t="inlineStr">
        <is>
          <t>WOW-AU</t>
        </is>
      </c>
      <c r="B43" s="8" t="inlineStr">
        <is>
          <t>Woolworths Group Ltd.</t>
        </is>
      </c>
      <c r="C43" s="8" t="inlineStr">
        <is>
          <t>I think Gus knows someone here</t>
        </is>
      </c>
      <c r="E43" s="8" t="n"/>
      <c r="F43" s="8" t="n"/>
      <c r="G43" s="8" t="n"/>
      <c r="H43" s="8" t="n"/>
      <c r="I43" s="8" t="n"/>
      <c r="J43" s="8" t="n"/>
      <c r="K43" s="8" t="n"/>
      <c r="L43" s="8" t="n"/>
      <c r="M43" s="8" t="n"/>
      <c r="N43" s="17" t="n"/>
      <c r="O43" s="17" t="n"/>
      <c r="P43" s="10" t="n">
        <v>378135</v>
      </c>
      <c r="Q43" s="10" t="n">
        <v>1266614</v>
      </c>
      <c r="R43" s="10">
        <f>IFERROR(_xlfn.XLOOKUP($A43,Profitability!$A$5:$A$342,Profitability!$Q$5:$Q$342),"na")</f>
        <v/>
      </c>
      <c r="S43" s="10">
        <f>IFERROR(_xlfn.XLOOKUP($A43,Profitability!$A$5:$A$342,Profitability!$R$5:$R$342),"na")</f>
        <v/>
      </c>
      <c r="T43" s="8" t="inlineStr">
        <is>
          <t>Public</t>
        </is>
      </c>
      <c r="U43" s="8" t="inlineStr">
        <is>
          <t>Australia</t>
        </is>
      </c>
      <c r="V43" s="9" t="n">
        <v>1924</v>
      </c>
      <c r="W43" s="10" t="n">
        <v>202000</v>
      </c>
      <c r="X43" s="11" t="n">
        <v>69076.9999999999</v>
      </c>
      <c r="Y43" s="8" t="inlineStr">
        <is>
          <t>Pacific</t>
        </is>
      </c>
      <c r="Z43" s="8" t="inlineStr">
        <is>
          <t>New South Wales (NSW)</t>
        </is>
      </c>
      <c r="AA43" s="11" t="n">
        <v>33829.0008337671</v>
      </c>
      <c r="AB43" s="8" t="inlineStr">
        <is>
          <t>Woolworths Group Ltd. engages in the operation of general merchandise consumer stores and supermarkets in Australia, New Zealand and India. It operates through the following segments: Australian Food, Australian B2B, New Zealand Food, Big W, and Other. The Australian Food segment is involved in procurement of food and related products for resale and provision of services to retail customers. The Australian B2B segment pertains to the procurement and distribution of food and related products for resale to other businesses and provision of supply chain services. The New Zealand Food segment refers to the procurement of food and drinks for resale and provision of services to retail and wholesale customers. The BIG W segment is focused on the procurement of discount general merchandise products for resale to retail customers. The Other segment is comprised of Quantium and MyDeal. The company was founded by Percy Christmas, Stanley Edward Chatterton, Cecil Scott Waine, George William Percival Creed, and Ernest Robert Williams on December 5, 1924, and is headquartered in Sydney, Australia.</t>
        </is>
      </c>
      <c r="AC43" s="8" t="inlineStr">
        <is>
          <t>Grocery Stores</t>
        </is>
      </c>
      <c r="AD43" s="8" t="inlineStr">
        <is>
          <t>Food and Beverage Retail</t>
        </is>
      </c>
      <c r="AE43" s="8" t="inlineStr">
        <is>
          <t>Food and Staples Retail</t>
        </is>
      </c>
      <c r="AF43" s="12" t="inlineStr">
        <is>
          <t>Supermarkets</t>
        </is>
      </c>
      <c r="AH43" t="n">
        <v>43300</v>
      </c>
      <c r="AI43" t="n">
        <v>0.9</v>
      </c>
      <c r="AJ43" t="inlineStr">
        <is>
          <t>,,,,vs F23 base year,
,"43,300+",,,,
,,,N Z,,</t>
        </is>
      </c>
      <c r="AK43" t="n">
        <v>66800</v>
      </c>
      <c r="AL43" t="n">
        <v>0.9</v>
      </c>
      <c r="AM43" t="inlineStr">
        <is>
          <t>,V I C,,,Our planet,
,,,"66,800+",,
,,,,,Our reach enables us to influence change across our value chain</t>
        </is>
      </c>
      <c r="AQ43" t="n">
        <v>13</v>
      </c>
      <c r="AR43" t="n">
        <v>0.013942</v>
      </c>
      <c r="AS43" t="n">
        <v>0.000188</v>
      </c>
    </row>
    <row r="44" ht="15" customHeight="1">
      <c r="A44" s="8" t="inlineStr">
        <is>
          <t>PPT-AU</t>
        </is>
      </c>
      <c r="B44" s="8" t="inlineStr">
        <is>
          <t>Perpetual Ltd.</t>
        </is>
      </c>
      <c r="C44" s="8" t="inlineStr">
        <is>
          <t>Patrick knows this firm I believe</t>
        </is>
      </c>
      <c r="F44" s="8" t="n"/>
      <c r="G44" s="8" t="n"/>
      <c r="H44" s="8" t="n"/>
      <c r="I44" s="8" t="n"/>
      <c r="J44" s="8" t="n"/>
      <c r="K44" s="8" t="n"/>
      <c r="L44" s="8" t="n"/>
      <c r="M44" s="8" t="n">
        <v>2025</v>
      </c>
      <c r="N44" s="17" t="n">
        <v>50</v>
      </c>
      <c r="O44" s="20" t="n">
        <v>1310</v>
      </c>
      <c r="P44" s="17" t="n"/>
      <c r="Q44" s="17" t="n"/>
      <c r="R44" s="10">
        <f>IFERROR(_xlfn.XLOOKUP($A44,Profitability!$A$5:$A$342,Profitability!$Q$5:$Q$342),"na")</f>
        <v/>
      </c>
      <c r="S44" s="10">
        <f>IFERROR(_xlfn.XLOOKUP($A44,Profitability!$A$5:$A$342,Profitability!$R$5:$R$342),"na")</f>
        <v/>
      </c>
      <c r="T44" s="8" t="inlineStr">
        <is>
          <t>Public</t>
        </is>
      </c>
      <c r="U44" s="8" t="inlineStr">
        <is>
          <t>Australia</t>
        </is>
      </c>
      <c r="V44" s="9" t="n">
        <v>1963</v>
      </c>
      <c r="W44" s="10" t="n">
        <v>1789</v>
      </c>
      <c r="X44" s="11" t="n">
        <v>1406.5</v>
      </c>
      <c r="Y44" s="8" t="inlineStr">
        <is>
          <t>Pacific</t>
        </is>
      </c>
      <c r="Z44" s="8" t="inlineStr">
        <is>
          <t>New South Wales (NSW)</t>
        </is>
      </c>
      <c r="AA44" s="11" t="n">
        <v>3417.80008423687</v>
      </c>
      <c r="AB44" s="8" t="inlineStr">
        <is>
          <t>Perpetual Ltd. operates as an independent financial services group, which provides investment management, wealth advice, and corporate fiduciary services to individuals, families, financial advisers, and institutions. It operates through the following segments: Asset Management, Wealth Management, and Corporate Trust. The Asset Management segment is a global multi-boutique asset management business. The Wealth Management segment includes Perpetual Private and other specialist businesses offering wealth management, advice, and trustee services. The Corporate Trust segment provides fiduciary and digital solutions to the banking and financial industry; and administers securitization portfolios, investment. and debt structures. The company was founded on September 28, 1886 and is headquartered in Sydney, Australia.</t>
        </is>
      </c>
      <c r="AC44" s="8" t="inlineStr">
        <is>
          <t>Asset Management and Financial Advisory Services</t>
        </is>
      </c>
      <c r="AD44" s="8" t="inlineStr">
        <is>
          <t>Investment Services</t>
        </is>
      </c>
      <c r="AE44" s="8" t="inlineStr">
        <is>
          <t>Investment Services</t>
        </is>
      </c>
      <c r="AF44" s="12" t="inlineStr">
        <is>
          <t>Diverse Asset Management and Financial Advisors</t>
        </is>
      </c>
      <c r="AH44" t="n">
        <v>50</v>
      </c>
      <c r="AI44" t="n">
        <v>1</v>
      </c>
      <c r="AJ44" t="inlineStr">
        <is>
          <t>offices (FY23 baseline),,,
Reduce paper purchased for printing in Australian,,Failed to achieve 50% reduction of FY21 baseline. Commitment was de‑prioritised due to separation activities in advance of,
,,,page 17</t>
        </is>
      </c>
      <c r="AK44" t="n">
        <v>1310</v>
      </c>
      <c r="AL44" t="n">
        <v>1</v>
      </c>
      <c r="AM44" t="inlineStr">
        <is>
          <t>"4.  FY25 figures utilise the EVIC methodology and prior years used the Market Capitalisation as Fixed Income (corporate bonds) data was not readily available. As a result, the table has been re‑baselined to FY25.",
5.,"For total carbon emissions, Scope 1 and Scope 2 GHG emissions are calculated using an Enterprise Value including Cash as the denominator. This is calculated by combining the total debt and market capitalisation of a"
,"holding. Where no market capitalisation is available (non‑listed issuers), total debt only is used."</t>
        </is>
      </c>
      <c r="AN44" t="n">
        <v>15312</v>
      </c>
      <c r="AO44" t="n">
        <v>1</v>
      </c>
      <c r="AP44" t="inlineStr">
        <is>
          <t>Operational emissions,,Electricity (market-based),011,335,242
,,Total Scope 3 operational emissions5,"15,156","19,672","22,120"
"As a global business, Perpetual Group is committed to",,,,,</t>
        </is>
      </c>
      <c r="AQ44" t="n">
        <v>0</v>
      </c>
      <c r="AR44" t="n">
        <v>-0.041379</v>
      </c>
      <c r="AS44" t="n">
        <v>0</v>
      </c>
    </row>
    <row r="45" ht="15" customHeight="1">
      <c r="A45" s="8" t="inlineStr">
        <is>
          <t>WZR-AU</t>
        </is>
      </c>
      <c r="B45" s="8" t="inlineStr">
        <is>
          <t>Wisr Ltd.</t>
        </is>
      </c>
      <c r="C45" s="8" t="n"/>
      <c r="D45" s="8" t="n"/>
      <c r="E45" s="8" t="n"/>
      <c r="F45" s="8" t="n"/>
      <c r="G45" s="8" t="n"/>
      <c r="H45" s="8" t="n"/>
      <c r="I45" s="8" t="n"/>
      <c r="J45" s="8" t="n"/>
      <c r="K45" s="8" t="n"/>
      <c r="L45" s="8" t="n"/>
      <c r="M45" s="8" t="n"/>
      <c r="N45" s="17" t="n"/>
      <c r="O45" s="17" t="n"/>
      <c r="P45" s="17" t="n"/>
      <c r="Q45" s="17" t="n"/>
      <c r="R45" s="10">
        <f>IFERROR(_xlfn.XLOOKUP($A45,Profitability!$A$5:$A$342,Profitability!$Q$5:$Q$342),"na")</f>
        <v/>
      </c>
      <c r="S45" s="10">
        <f>IFERROR(_xlfn.XLOOKUP($A45,Profitability!$A$5:$A$342,Profitability!$R$5:$R$342),"na")</f>
        <v/>
      </c>
      <c r="T45" s="8" t="inlineStr">
        <is>
          <t>Public</t>
        </is>
      </c>
      <c r="U45" s="8" t="inlineStr">
        <is>
          <t>Australia</t>
        </is>
      </c>
      <c r="V45" s="9" t="n">
        <v>1966</v>
      </c>
      <c r="W45" s="10" t="inlineStr">
        <is>
          <t>-</t>
        </is>
      </c>
      <c r="X45" s="11" t="n">
        <v>91.5701099999999</v>
      </c>
      <c r="Y45" s="8" t="inlineStr">
        <is>
          <t>Pacific</t>
        </is>
      </c>
      <c r="Z45" s="8" t="inlineStr">
        <is>
          <t>New South Wales (NSW)</t>
        </is>
      </c>
      <c r="AA45" s="11" t="n">
        <v>871.405091477102</v>
      </c>
      <c r="AB45" s="8" t="inlineStr">
        <is>
          <t>Wisr Ltd. engages in the provision of writing personal loans and secured vehicle loans to consumers. The company was founded on May 2, 1966 and is headquartered in Sydney, Australia.</t>
        </is>
      </c>
      <c r="AC45" s="8" t="inlineStr">
        <is>
          <t>Consumer Finance Services</t>
        </is>
      </c>
      <c r="AD45" s="8" t="inlineStr">
        <is>
          <t>Specialty Finance</t>
        </is>
      </c>
      <c r="AE45" s="8" t="inlineStr">
        <is>
          <t>Specialty Finance and Services</t>
        </is>
      </c>
      <c r="AF45" s="12" t="inlineStr">
        <is>
          <t>Personal Loans</t>
        </is>
      </c>
      <c r="AR45" t="n">
        <v>-0.07928300000000001</v>
      </c>
    </row>
    <row r="46" ht="15" customHeight="1">
      <c r="A46" s="8" t="inlineStr">
        <is>
          <t>NAB-AU</t>
        </is>
      </c>
      <c r="B46" s="8" t="inlineStr">
        <is>
          <t>National Australia Bank Ltd.</t>
        </is>
      </c>
      <c r="C46" s="8" t="n"/>
      <c r="D46" s="8" t="n"/>
      <c r="E46" s="8" t="n"/>
      <c r="F46" s="8" t="n"/>
      <c r="G46" s="8" t="n"/>
      <c r="H46" s="8" t="n"/>
      <c r="I46" s="8" t="n"/>
      <c r="J46" s="8" t="n"/>
      <c r="K46" s="8" t="n"/>
      <c r="L46" s="8" t="n"/>
      <c r="M46" s="8" t="n">
        <v>2024</v>
      </c>
      <c r="N46" s="10" t="n">
        <v>7313</v>
      </c>
      <c r="O46" s="10" t="n">
        <v>49565</v>
      </c>
      <c r="P46" s="10" t="n">
        <v>4329</v>
      </c>
      <c r="Q46" s="10" t="n">
        <v>47165</v>
      </c>
      <c r="R46" s="10">
        <f>IFERROR(_xlfn.XLOOKUP($A46,Profitability!$A$5:$A$342,Profitability!$Q$5:$Q$342),"na")</f>
        <v/>
      </c>
      <c r="S46" s="10">
        <f>IFERROR(_xlfn.XLOOKUP($A46,Profitability!$A$5:$A$342,Profitability!$R$5:$R$342),"na")</f>
        <v/>
      </c>
      <c r="T46" s="8" t="inlineStr">
        <is>
          <t>Public</t>
        </is>
      </c>
      <c r="U46" s="8" t="inlineStr">
        <is>
          <t>Australia</t>
        </is>
      </c>
      <c r="V46" s="9" t="n">
        <v>1893</v>
      </c>
      <c r="W46" s="10" t="n">
        <v>39240</v>
      </c>
      <c r="X46" s="11" t="n">
        <v>63168</v>
      </c>
      <c r="Y46" s="8" t="inlineStr">
        <is>
          <t>Pacific</t>
        </is>
      </c>
      <c r="Z46" s="8" t="inlineStr">
        <is>
          <t>Victoria (VIC)</t>
        </is>
      </c>
      <c r="AA46" s="11" t="n">
        <v>1080356.01851334</v>
      </c>
      <c r="AB46" s="8" t="inlineStr">
        <is>
          <t>National Australia Bank Ltd. engages in the provision of banking and financial services. Its services include banking, credit and access card facilities, leasing, housing and general finance, international banking, investment banking, wealth management, funds management and custodian, trustee and nominee services. It operates through the following segments: Business and Private Banking, Personal Banking, Corporate and Institutional Banking, New Zealand Banking, and Corporate Functions and Others. The Business and Private Banking segment focuses on priority small and medium (SME) customers. The Personal Banking segment provides banking products and services to customers. The Corporate and Institutional Banking segment includes client coverage, corporate finance, markets, asset servicing, transactional banking and enterprise payments. The New Zealand Banking segment focuses on banking and financial services across customer segments in New Zealand. The Corporate Functions and Other segment covers ubank and enabling units. The company was founded on October 4, 1858 and is headquartered in Melbourne, Australia.</t>
        </is>
      </c>
      <c r="AC46" s="8" t="inlineStr">
        <is>
          <t>Asia/Pacific Banks</t>
        </is>
      </c>
      <c r="AD46" s="8" t="inlineStr">
        <is>
          <t>International Banks</t>
        </is>
      </c>
      <c r="AE46" s="8" t="inlineStr">
        <is>
          <t>Banking</t>
        </is>
      </c>
      <c r="AF46" s="12" t="inlineStr">
        <is>
          <t>Australia and New Zealand Banks</t>
        </is>
      </c>
      <c r="AH46" t="n">
        <v>8359</v>
      </c>
      <c r="AJ46" t="inlineStr">
        <is>
          <t>2025 Scope 1 emissions (tCO2-e). Note: This is the gross Scope 1 figure.</t>
        </is>
      </c>
      <c r="AK46" t="n">
        <v>0</v>
      </c>
      <c r="AM46" t="inlineStr">
        <is>
          <t>2025 Scope 2 market-based emissions (tCO2-e). Market-based emissions are zero, reflecting 100% renewable electricity sourcing.</t>
        </is>
      </c>
      <c r="AN46" t="n">
        <v>78259</v>
      </c>
      <c r="AP46" t="inlineStr">
        <is>
          <t>2025 Total gross Scope 3 emissions (tCO2-e). This excludes financed emissions.</t>
        </is>
      </c>
      <c r="AQ46" t="n">
        <v>22</v>
      </c>
      <c r="AR46" t="n">
        <v>0.107459</v>
      </c>
      <c r="AS46" t="n">
        <v>0.000348</v>
      </c>
    </row>
    <row r="47" ht="15" customHeight="1">
      <c r="A47" s="8" t="inlineStr">
        <is>
          <t>ANN-AU</t>
        </is>
      </c>
      <c r="B47" s="8" t="inlineStr">
        <is>
          <t>Ansell Ltd.</t>
        </is>
      </c>
      <c r="C47" s="8" t="n"/>
      <c r="D47" s="8" t="n"/>
      <c r="E47" s="8" t="n"/>
      <c r="F47" s="8" t="n"/>
      <c r="G47" s="8" t="n"/>
      <c r="H47" s="8" t="n"/>
      <c r="I47" s="8" t="n"/>
      <c r="J47" s="8" t="n"/>
      <c r="K47" s="8" t="n"/>
      <c r="L47" s="8" t="n"/>
      <c r="M47" s="8" t="n">
        <v>2025</v>
      </c>
      <c r="N47" s="20" t="n">
        <v>181558</v>
      </c>
      <c r="O47" s="20" t="n">
        <v>46346</v>
      </c>
      <c r="P47" s="17" t="n"/>
      <c r="Q47" s="17" t="n"/>
      <c r="R47" s="10">
        <f>IFERROR(_xlfn.XLOOKUP($A47,Profitability!$A$5:$A$342,Profitability!$Q$5:$Q$342),"na")</f>
        <v/>
      </c>
      <c r="S47" s="10">
        <f>IFERROR(_xlfn.XLOOKUP($A47,Profitability!$A$5:$A$342,Profitability!$R$5:$R$342),"na")</f>
        <v/>
      </c>
      <c r="T47" s="8" t="inlineStr">
        <is>
          <t>Public</t>
        </is>
      </c>
      <c r="U47" s="8" t="inlineStr">
        <is>
          <t>Australia</t>
        </is>
      </c>
      <c r="V47" s="9" t="n">
        <v>1893</v>
      </c>
      <c r="W47" s="10" t="n">
        <v>15724</v>
      </c>
      <c r="X47" s="11" t="n">
        <v>3093.27384386385</v>
      </c>
      <c r="Y47" s="8" t="inlineStr">
        <is>
          <t>Pacific</t>
        </is>
      </c>
      <c r="Z47" s="8" t="inlineStr">
        <is>
          <t>Victoria (VIC)</t>
        </is>
      </c>
      <c r="AA47" s="11" t="n">
        <v>5069.65755993985</v>
      </c>
      <c r="AB47" s="8" t="inlineStr">
        <is>
          <t>Ansell Ltd. engages in the development, manufacture, distribution, and sale of gloves and protective personal equipment in the industrial and medical end markets. It operates through the Healthcare and Industrial segment. The Healthcare segment includes surgical and examination gloves, healthcare safety devices, and active infection prevention products for healthcare patients and single use industrial application gloves. The Industrial segment provides multi-use hand and body protection solutions for industrial worker environments and specialty applications. The company was founded in 1893 and is headquartered in Richmond, Australia.</t>
        </is>
      </c>
      <c r="AC47" s="8" t="inlineStr">
        <is>
          <t>Medical Supplies</t>
        </is>
      </c>
      <c r="AD47" s="8" t="inlineStr">
        <is>
          <t>Other Medical Devices</t>
        </is>
      </c>
      <c r="AE47" s="8" t="inlineStr">
        <is>
          <t>Healthcare Equipment</t>
        </is>
      </c>
      <c r="AF47" s="12" t="inlineStr">
        <is>
          <t>Safety and Sterilization Medical Supplies</t>
        </is>
      </c>
      <c r="AH47" t="n">
        <v>181558</v>
      </c>
      <c r="AJ47" t="inlineStr">
        <is>
          <t>FY25 Scope 1 emissions</t>
        </is>
      </c>
      <c r="AK47" t="n">
        <v>46346</v>
      </c>
      <c r="AM47" t="inlineStr">
        <is>
          <t>FY25 Scope 2 emissions (market based)</t>
        </is>
      </c>
      <c r="AN47" t="n">
        <v>798935</v>
      </c>
      <c r="AP47" t="inlineStr">
        <is>
          <t>FY24 Scope 3 emissions. Current year (FY25) Scope 3 data is reported a year in arrears.</t>
        </is>
      </c>
      <c r="AQ47" t="n">
        <v>1</v>
      </c>
      <c r="AR47" t="n">
        <v>0.050716</v>
      </c>
      <c r="AS47" t="n">
        <v>0.000323</v>
      </c>
    </row>
    <row r="48" ht="15" customHeight="1">
      <c r="A48" s="8" t="inlineStr">
        <is>
          <t>ATP-AU</t>
        </is>
      </c>
      <c r="B48" s="8" t="inlineStr">
        <is>
          <t>Atlas Pearls Ltd.</t>
        </is>
      </c>
      <c r="C48" s="8" t="n"/>
      <c r="D48" s="8" t="n"/>
      <c r="E48" s="8" t="n"/>
      <c r="F48" s="8" t="n"/>
      <c r="G48" s="8" t="n"/>
      <c r="H48" s="8" t="n"/>
      <c r="I48" s="8" t="n"/>
      <c r="J48" s="8" t="n"/>
      <c r="K48" s="8" t="n"/>
      <c r="L48" s="8" t="n"/>
      <c r="M48" s="8" t="n">
        <v>2025</v>
      </c>
      <c r="N48" s="17" t="inlineStr">
        <is>
          <t>Scope 1 + 2</t>
        </is>
      </c>
      <c r="O48" s="20" t="n">
        <v>4937</v>
      </c>
      <c r="P48" s="17" t="n"/>
      <c r="Q48" s="17" t="n"/>
      <c r="R48" s="10">
        <f>IFERROR(_xlfn.XLOOKUP($A48,Profitability!$A$5:$A$342,Profitability!$Q$5:$Q$342),"na")</f>
        <v/>
      </c>
      <c r="S48" s="10">
        <f>IFERROR(_xlfn.XLOOKUP($A48,Profitability!$A$5:$A$342,Profitability!$R$5:$R$342),"na")</f>
        <v/>
      </c>
      <c r="T48" s="8" t="inlineStr">
        <is>
          <t>Public</t>
        </is>
      </c>
      <c r="U48" s="8" t="inlineStr">
        <is>
          <t>Australia</t>
        </is>
      </c>
      <c r="V48" s="9" t="n">
        <v>1987</v>
      </c>
      <c r="W48" s="10" t="n">
        <v>1200</v>
      </c>
      <c r="X48" s="11" t="n">
        <v>44.2710159999999</v>
      </c>
      <c r="Y48" s="8" t="inlineStr">
        <is>
          <t>Pacific</t>
        </is>
      </c>
      <c r="Z48" s="8" t="inlineStr">
        <is>
          <t>Western Australia (WA)</t>
        </is>
      </c>
      <c r="AA48" s="11" t="n">
        <v>85.885515116779</v>
      </c>
      <c r="AB48" s="8" t="inlineStr">
        <is>
          <t>Atlas Pearls Ltd. produces white &amp; silver South Sea pearls and farming operations in Indonesia. It operates through the Australia and Indonesia segments. The company was founded in 1992 and is headquartered in Perth, Australia.</t>
        </is>
      </c>
      <c r="AC48" s="8" t="inlineStr">
        <is>
          <t>Accessories Production</t>
        </is>
      </c>
      <c r="AD48" s="8" t="inlineStr">
        <is>
          <t>Apparel and Accessory Products</t>
        </is>
      </c>
      <c r="AE48" s="8" t="inlineStr">
        <is>
          <t>Consumer Goods</t>
        </is>
      </c>
      <c r="AF48" s="12" t="inlineStr">
        <is>
          <t>Jewelry and Other Accessories Production</t>
        </is>
      </c>
      <c r="AQ48" t="n">
        <v>0</v>
      </c>
      <c r="AR48" t="n">
        <v>0.49463</v>
      </c>
      <c r="AS48" t="n">
        <v>0</v>
      </c>
    </row>
    <row r="49" ht="15" customHeight="1">
      <c r="A49" s="8" t="inlineStr">
        <is>
          <t>ORG-AU</t>
        </is>
      </c>
      <c r="B49" s="8" t="inlineStr">
        <is>
          <t>Origin Energy Ltd.</t>
        </is>
      </c>
      <c r="C49" s="8" t="n"/>
      <c r="D49" s="8" t="n"/>
      <c r="E49" s="8" t="n"/>
      <c r="F49" s="8" t="n"/>
      <c r="G49" s="8" t="n"/>
      <c r="H49" s="8" t="n"/>
      <c r="I49" s="8" t="n"/>
      <c r="J49" s="8" t="n"/>
      <c r="K49" s="8" t="n"/>
      <c r="L49" s="8" t="n"/>
      <c r="M49" s="8" t="n"/>
      <c r="N49" s="17" t="n"/>
      <c r="O49" s="17" t="n"/>
      <c r="P49" s="10" t="n">
        <v>15563946</v>
      </c>
      <c r="Q49" s="10" t="n">
        <v>2200940</v>
      </c>
      <c r="R49" s="10">
        <f>IFERROR(_xlfn.XLOOKUP($A49,Profitability!$A$5:$A$342,Profitability!$Q$5:$Q$342),"na")</f>
        <v/>
      </c>
      <c r="S49" s="10">
        <f>IFERROR(_xlfn.XLOOKUP($A49,Profitability!$A$5:$A$342,Profitability!$R$5:$R$342),"na")</f>
        <v/>
      </c>
      <c r="T49" s="8" t="inlineStr">
        <is>
          <t>Public</t>
        </is>
      </c>
      <c r="U49" s="8" t="inlineStr">
        <is>
          <t>Australia</t>
        </is>
      </c>
      <c r="V49" s="9" t="n">
        <v>1946</v>
      </c>
      <c r="W49" s="10" t="n">
        <v>5000</v>
      </c>
      <c r="X49" s="11" t="n">
        <v>17118</v>
      </c>
      <c r="Y49" s="8" t="inlineStr">
        <is>
          <t>Pacific</t>
        </is>
      </c>
      <c r="Z49" s="8" t="inlineStr">
        <is>
          <t>New South Wales (NSW)</t>
        </is>
      </c>
      <c r="AA49" s="11" t="n">
        <v>20989.0005173058</v>
      </c>
      <c r="AB49" s="8" t="inlineStr">
        <is>
          <t>Origin Energy Ltd. is an integrated energy company, which engages in exploration and production of natural gas, electricity generation, wholesale and retail sale of electricity and gas, and sale of liquefied natural gas. It operates through the following business segments: Energy Markets, Share of Octopus Energy, Integrated Gas, and Corporate. The Energy Markets segment includes energy retailing, power generation and liquid petroleum gas operations. The Share of Octopus Energy segment focuses on the Origin’s investment in Octopus Energy Group Limited (Octopus Energy). The Integrated Gas segment engages in growth assets business and management of LNG price risk through hedging and trading activities. The Corporate segment includes various business development and support activities that are not allocated to operating segments. The company was founded on March 4, 1946 and is headquartered in Sydney, Australia.</t>
        </is>
      </c>
      <c r="AC49" s="8" t="inlineStr">
        <is>
          <t>Asia/Pacific Wholesale Power</t>
        </is>
      </c>
      <c r="AD49" s="8" t="inlineStr">
        <is>
          <t>Energy Utilities</t>
        </is>
      </c>
      <c r="AE49" s="8" t="inlineStr">
        <is>
          <t>Utilities</t>
        </is>
      </c>
      <c r="AF49" s="12" t="inlineStr">
        <is>
          <t>Other Asia/Pacific Wholesale Power</t>
        </is>
      </c>
      <c r="AH49" t="n">
        <v>16044000</v>
      </c>
      <c r="AI49" t="n">
        <v>1</v>
      </c>
      <c r="AJ49" t="inlineStr">
        <is>
          <t>Why it’s important,"is not linear. Our total Scope 1, 2 and 3 equity emissions for FY25 was 45.1 Mt CO2-e, largely consistent with FY24."
,"Emissions from Eraring made up 84 per cent of our total Scope 1 equity emissions of 16.0 Mt CO2-e, with Scope 1"
"As a leading energy company in Australia, the energy transition is core to our","and 2 emissions up due to slightly higher generation output at our other generating sites. Scope 3 emissions, which"</t>
        </is>
      </c>
      <c r="AK49" t="n">
        <v>876000</v>
      </c>
      <c r="AL49" t="n">
        <v>1</v>
      </c>
      <c r="AM49" t="inlineStr">
        <is>
          <t>,,baseline for FY25.,,,,,,,,
,,,Scope 1,,Scope 2,,Flaring,Venting,,</t>
        </is>
      </c>
      <c r="AN49" t="n">
        <v>28135000</v>
      </c>
      <c r="AO49" t="n">
        <v>1</v>
      </c>
      <c r="AP49" t="inlineStr">
        <is>
          <t>,"4,262","4,436","4,483","4,591","4,695","we operate (including those under exploration, projects"
"('000) 1, 5",,,,,,not eventuate. Scenarios may also be impacted by
,,,,,,"in development or execution phases, sites and closed"</t>
        </is>
      </c>
      <c r="AQ49" t="n">
        <v>10</v>
      </c>
      <c r="AR49" t="n">
        <v>0.086517</v>
      </c>
      <c r="AS49" t="n">
        <v>0.000584</v>
      </c>
    </row>
    <row r="50" ht="15" customHeight="1">
      <c r="A50" s="8" t="inlineStr">
        <is>
          <t>TAH-AU</t>
        </is>
      </c>
      <c r="B50" s="8" t="inlineStr">
        <is>
          <t>Tabcorp Holdings Ltd.</t>
        </is>
      </c>
      <c r="C50" s="8" t="n"/>
      <c r="D50" s="8" t="n"/>
      <c r="E50" s="8" t="n"/>
      <c r="F50" s="8" t="n"/>
      <c r="G50" s="8" t="n"/>
      <c r="H50" s="8" t="n"/>
      <c r="I50" s="8" t="n"/>
      <c r="J50" s="8" t="n"/>
      <c r="K50" s="8" t="n"/>
      <c r="L50" s="8" t="n"/>
      <c r="M50" s="8" t="n">
        <v>2025</v>
      </c>
      <c r="N50" s="17" t="inlineStr">
        <is>
          <t>Scope 1 + 2</t>
        </is>
      </c>
      <c r="O50" s="20" t="n">
        <v>14602</v>
      </c>
      <c r="P50" s="17" t="n"/>
      <c r="Q50" s="17" t="n"/>
      <c r="R50" s="10">
        <f>IFERROR(_xlfn.XLOOKUP($A50,Profitability!$A$5:$A$342,Profitability!$Q$5:$Q$342),"na")</f>
        <v/>
      </c>
      <c r="S50" s="10">
        <f>IFERROR(_xlfn.XLOOKUP($A50,Profitability!$A$5:$A$342,Profitability!$R$5:$R$342),"na")</f>
        <v/>
      </c>
      <c r="T50" s="8" t="inlineStr">
        <is>
          <t>Public</t>
        </is>
      </c>
      <c r="U50" s="8" t="inlineStr">
        <is>
          <t>Australia</t>
        </is>
      </c>
      <c r="V50" s="9" t="n">
        <v>1994</v>
      </c>
      <c r="W50" s="10" t="inlineStr">
        <is>
          <t>-</t>
        </is>
      </c>
      <c r="X50" s="11" t="n">
        <v>2151.5</v>
      </c>
      <c r="Y50" s="8" t="inlineStr">
        <is>
          <t>Pacific</t>
        </is>
      </c>
      <c r="Z50" s="8" t="inlineStr">
        <is>
          <t>Victoria (VIC)</t>
        </is>
      </c>
      <c r="AA50" s="11" t="n">
        <v>3140.200077395</v>
      </c>
      <c r="AB50" s="8" t="inlineStr">
        <is>
          <t>Tabcorp Holdings Ltd. engages in the provision of entertainment services. It operates through the Wagering and Media, and Gaming Services segments. The Wagering and Media segment includes totalizator and fixed odds betting, retail wagering networks, and global racing media business. The Gaming Services segment provides regulatory monitoring and related services. The company was founded on April 13, 1994 and is headquartered in Melbourne, Australia.</t>
        </is>
      </c>
      <c r="AC50" s="8" t="inlineStr">
        <is>
          <t>Arts, Entertainment and Recreation Providers</t>
        </is>
      </c>
      <c r="AD50" s="8" t="inlineStr">
        <is>
          <t>Hospitality Services</t>
        </is>
      </c>
      <c r="AE50" s="8" t="inlineStr">
        <is>
          <t>Hospitality Services</t>
        </is>
      </c>
      <c r="AF50" s="12" t="inlineStr">
        <is>
          <t>Gaming Industries</t>
        </is>
      </c>
      <c r="AH50" t="n">
        <v>3108</v>
      </c>
      <c r="AI50" t="n">
        <v>1</v>
      </c>
      <c r="AJ50" t="inlineStr">
        <is>
          <t>and targets sections.,,,,
,how much and how quickly they,2019 levels,"Scope 1, 2 and 3 GHG emissions",set their own science-based
,need to reduce their GHG,,reduction targets. These,targets. While this is not a small</t>
        </is>
      </c>
      <c r="AK50" t="n">
        <v>11493</v>
      </c>
      <c r="AL50" t="n">
        <v>1</v>
      </c>
      <c r="AM50" t="inlineStr">
        <is>
          <t>,, Company specific definitions that are publicly disclosed.
Total scope 2 greenhouse gas emissions (tCO2-e),"11,493",
,,Key responsibilities</t>
        </is>
      </c>
      <c r="AN50" t="n">
        <v>57223</v>
      </c>
      <c r="AO50" t="n">
        <v>1</v>
      </c>
      <c r="AP50" t="inlineStr">
        <is>
          <t>emissions baseline to remove,,,,
,"were 57,223 tonnes CO2e, a",Scope 3 – 79.7%,,
those emissions related to our,,,,</t>
        </is>
      </c>
      <c r="AQ50" t="n">
        <v>15</v>
      </c>
      <c r="AR50" t="n">
        <v>0.017011</v>
      </c>
      <c r="AS50" t="n">
        <v>0.006972</v>
      </c>
    </row>
    <row r="51" ht="15" customHeight="1">
      <c r="A51" s="8" t="inlineStr">
        <is>
          <t>CSL-AU</t>
        </is>
      </c>
      <c r="B51" s="8" t="inlineStr">
        <is>
          <t>CSL Ltd.</t>
        </is>
      </c>
      <c r="C51" s="8" t="n"/>
      <c r="D51" s="8" t="n"/>
      <c r="E51" s="8" t="n"/>
      <c r="F51" s="8" t="n"/>
      <c r="G51" s="8" t="n"/>
      <c r="H51" s="8" t="n"/>
      <c r="I51" s="8" t="n"/>
      <c r="J51" s="8" t="n"/>
      <c r="K51" s="8" t="n"/>
      <c r="L51" s="8" t="n"/>
      <c r="M51" s="8" t="n">
        <v>2025</v>
      </c>
      <c r="N51" s="20" t="n">
        <v>135000</v>
      </c>
      <c r="O51" s="20" t="n">
        <v>151000</v>
      </c>
      <c r="P51" s="10" t="n">
        <v>27439</v>
      </c>
      <c r="Q51" s="10" t="n">
        <v>76717</v>
      </c>
      <c r="R51" s="10">
        <f>IFERROR(_xlfn.XLOOKUP($A51,Profitability!$A$5:$A$342,Profitability!$Q$5:$Q$342),"na")</f>
        <v/>
      </c>
      <c r="S51" s="10">
        <f>IFERROR(_xlfn.XLOOKUP($A51,Profitability!$A$5:$A$342,Profitability!$R$5:$R$342),"na")</f>
        <v/>
      </c>
      <c r="T51" s="8" t="inlineStr">
        <is>
          <t>Public</t>
        </is>
      </c>
      <c r="U51" s="8" t="inlineStr">
        <is>
          <t>Australia</t>
        </is>
      </c>
      <c r="V51" s="9" t="n">
        <v>1961</v>
      </c>
      <c r="W51" s="10" t="n">
        <v>29000</v>
      </c>
      <c r="X51" s="11" t="n">
        <v>23825.2959670639</v>
      </c>
      <c r="Y51" s="8" t="inlineStr">
        <is>
          <t>Pacific</t>
        </is>
      </c>
      <c r="Z51" s="8" t="inlineStr">
        <is>
          <t>Victoria (VIC)</t>
        </is>
      </c>
      <c r="AA51" s="11" t="n">
        <v>60126.651364035</v>
      </c>
      <c r="AB51" s="8" t="inlineStr">
        <is>
          <t>CSL Ltd. is a biopharmaceutical company, which engages in the manufacture, marketing, and distribution of biopharmaceutical and allied products. It operates through the following segments: CSL Behring, CSL Seqirus, and CSL Vifor. The CSL Behring segment provides plasma products, gene therapies, and recombinants. The CSL Seqirus segment includes predominantly influenza related products and provides pandemic services to governments. The CSL Vidor segment focuses on the distribution of products in the therapeutic areas of iron deficiency and nephrology. The company was founded on November 2, 1961 and is headquartered in Melbourne, Australia.</t>
        </is>
      </c>
      <c r="AC51" s="8" t="inlineStr">
        <is>
          <t>Diversified Biopharmaceuticals</t>
        </is>
      </c>
      <c r="AD51" s="8" t="inlineStr">
        <is>
          <t>Other Biopharmaceuticals</t>
        </is>
      </c>
      <c r="AE51" s="8" t="inlineStr">
        <is>
          <t>Biopharmaceuticals</t>
        </is>
      </c>
      <c r="AF51" s="12" t="inlineStr">
        <is>
          <t>Diversified Biopharmaceuticals</t>
        </is>
      </c>
      <c r="AH51" t="n">
        <v>135000</v>
      </c>
      <c r="AI51" t="n">
        <v>0.9</v>
      </c>
      <c r="AJ51" t="inlineStr">
        <is>
          <t>Product safety and quality,Critical ﬁndings in Plasma and Manufacturing,,
,regulatory inspections that prevent the release,#,0
,of commercial product,,</t>
        </is>
      </c>
      <c r="AK51" t="n">
        <v>151000</v>
      </c>
      <c r="AL51" t="n">
        <v>0.9</v>
      </c>
      <c r="AM51" t="inlineStr">
        <is>
          <t>Product safety and quality,Critical ﬁndings in Plasma and Manufacturing,,
,regulatory inspections that prevent the release,#,0
,of commercial product,,</t>
        </is>
      </c>
      <c r="AN51" t="n">
        <v>0</v>
      </c>
      <c r="AQ51" t="n">
        <v>0</v>
      </c>
      <c r="AR51" t="n">
        <v>0.194556</v>
      </c>
      <c r="AS51" t="n">
        <v>0</v>
      </c>
    </row>
    <row r="52" ht="15" customHeight="1">
      <c r="A52" s="8" t="inlineStr">
        <is>
          <t>CDA-AU</t>
        </is>
      </c>
      <c r="B52" s="8" t="inlineStr">
        <is>
          <t>Codan Ltd.</t>
        </is>
      </c>
      <c r="C52" s="8" t="n"/>
      <c r="D52" s="8" t="n"/>
      <c r="E52" s="8" t="n"/>
      <c r="F52" s="8" t="n"/>
      <c r="G52" s="8" t="n"/>
      <c r="H52" s="8" t="n"/>
      <c r="I52" s="8" t="n"/>
      <c r="J52" s="8" t="n"/>
      <c r="K52" s="8" t="n"/>
      <c r="L52" s="8" t="n"/>
      <c r="M52" s="8" t="n">
        <v>2025</v>
      </c>
      <c r="N52" s="20" t="n">
        <v>456</v>
      </c>
      <c r="O52" s="20" t="n">
        <v>1261</v>
      </c>
      <c r="P52" s="17" t="n"/>
      <c r="Q52" s="17" t="n"/>
      <c r="R52" s="10">
        <f>IFERROR(_xlfn.XLOOKUP($A52,Profitability!$A$5:$A$342,Profitability!$Q$5:$Q$342),"na")</f>
        <v/>
      </c>
      <c r="S52" s="10">
        <f>IFERROR(_xlfn.XLOOKUP($A52,Profitability!$A$5:$A$342,Profitability!$R$5:$R$342),"na")</f>
        <v/>
      </c>
      <c r="T52" s="8" t="inlineStr">
        <is>
          <t>Public</t>
        </is>
      </c>
      <c r="U52" s="8" t="inlineStr">
        <is>
          <t>Australia</t>
        </is>
      </c>
      <c r="V52" s="9" t="n">
        <v>1959</v>
      </c>
      <c r="W52" s="10" t="n">
        <v>1000</v>
      </c>
      <c r="X52" s="11" t="n">
        <v>674.226</v>
      </c>
      <c r="Y52" s="8" t="inlineStr">
        <is>
          <t>Pacific</t>
        </is>
      </c>
      <c r="Z52" s="8" t="inlineStr">
        <is>
          <t>South Australia (SA)</t>
        </is>
      </c>
      <c r="AA52" s="11" t="n">
        <v>904.805022300294</v>
      </c>
      <c r="AB52" s="8" t="inlineStr">
        <is>
          <t>Codan Ltd. engages in the provision of electronic solutions, focusing on metal detection and communications technology. It operates through the following segments: Communications, Metal Detection, and Other. The Communications segment includes the design, development, manufacture, and marketing of communications equipment. The Metal Detection segment focuses on the designs, development, manufacture, and marketing of metal detection equipment. The Other segment refers to the tracking solutions business and the ongoing manufacturing and sale of tracking products. The company was founded by Alastair Wood, Ian Baker Wall, and Jim Irvine Bettison on July 1, 1959, and is headquartered in Mawson Lakes, Australia.</t>
        </is>
      </c>
      <c r="AC52" s="8" t="inlineStr">
        <is>
          <t>Other Communications Equipment</t>
        </is>
      </c>
      <c r="AD52" s="8" t="inlineStr">
        <is>
          <t>Communications Equipment</t>
        </is>
      </c>
      <c r="AE52" s="8" t="inlineStr">
        <is>
          <t>Hardware</t>
        </is>
      </c>
      <c r="AF52" s="12" t="inlineStr">
        <is>
          <t>Other Wireless Equipment</t>
        </is>
      </c>
      <c r="AH52" t="n">
        <v>1485</v>
      </c>
      <c r="AJ52" t="inlineStr">
        <is>
          <t>FY24 Scope 1 emissions (tCO2-e)</t>
        </is>
      </c>
      <c r="AK52" t="n">
        <v>1037</v>
      </c>
      <c r="AM52" t="inlineStr">
        <is>
          <t>FY24 Scope 2 emissions (tCO2-e)</t>
        </is>
      </c>
      <c r="AN52" t="n">
        <v>51835</v>
      </c>
      <c r="AP52" t="inlineStr">
        <is>
          <t>FY24 Scope 3 emissions (tCO2-e)</t>
        </is>
      </c>
      <c r="AQ52" t="n">
        <v>2</v>
      </c>
      <c r="AR52" t="n">
        <v>0.153499</v>
      </c>
      <c r="AS52" t="n">
        <v>0.002966</v>
      </c>
    </row>
    <row r="53" ht="15" customHeight="1">
      <c r="A53" s="8" t="inlineStr">
        <is>
          <t>OBL-AU</t>
        </is>
      </c>
      <c r="B53" s="8" t="inlineStr">
        <is>
          <t>Omni Bridgeway Ltd.</t>
        </is>
      </c>
      <c r="C53" s="8" t="n"/>
      <c r="D53" s="8" t="n"/>
      <c r="E53" s="8" t="n"/>
      <c r="F53" s="8" t="n"/>
      <c r="G53" s="8" t="n"/>
      <c r="H53" s="8" t="n"/>
      <c r="I53" s="8" t="n"/>
      <c r="J53" s="8" t="n"/>
      <c r="K53" s="8" t="n"/>
      <c r="L53" s="8" t="n"/>
      <c r="M53" s="8" t="n"/>
      <c r="N53" s="17" t="n"/>
      <c r="O53" s="17" t="n"/>
      <c r="P53" s="17" t="n"/>
      <c r="Q53" s="17" t="n"/>
      <c r="R53" s="10">
        <f>IFERROR(_xlfn.XLOOKUP($A53,Profitability!$A$5:$A$342,Profitability!$Q$5:$Q$342),"na")</f>
        <v/>
      </c>
      <c r="S53" s="10">
        <f>IFERROR(_xlfn.XLOOKUP($A53,Profitability!$A$5:$A$342,Profitability!$R$5:$R$342),"na")</f>
        <v/>
      </c>
      <c r="T53" s="8" t="inlineStr">
        <is>
          <t>Public</t>
        </is>
      </c>
      <c r="U53" s="8" t="inlineStr">
        <is>
          <t>Australia</t>
        </is>
      </c>
      <c r="V53" s="9" t="n">
        <v>1986</v>
      </c>
      <c r="W53" s="10" t="n">
        <v>167</v>
      </c>
      <c r="X53" s="11" t="n">
        <v>54.986</v>
      </c>
      <c r="Y53" s="8" t="inlineStr">
        <is>
          <t>Pacific</t>
        </is>
      </c>
      <c r="Z53" s="8" t="inlineStr">
        <is>
          <t>New South Wales (NSW)</t>
        </is>
      </c>
      <c r="AA53" s="11" t="n">
        <v>1191.95502937754</v>
      </c>
      <c r="AB53" s="8" t="inlineStr">
        <is>
          <t>Omni Bridgeway Ltd. engages in the investigation, management, and funding of litigation and arbitration claims. It operates through the following geographical segments: Americas, APAC, EMEA, and Corporate. The Americas segment focuses on the investment management business operating in America, Canada, and Latin America. The APAC segment is involved in the investment management business operating in Australia, Asia, and New Zealand. The EMEA segment represents the investment management business operating in Europe, Middle East, and Africa. The company was founded in 1986 and is headquartered in Sydney, Australia.</t>
        </is>
      </c>
      <c r="AC53" s="8" t="inlineStr">
        <is>
          <t>Commercial Finance Services</t>
        </is>
      </c>
      <c r="AD53" s="8" t="inlineStr">
        <is>
          <t>Specialty Finance</t>
        </is>
      </c>
      <c r="AE53" s="8" t="inlineStr">
        <is>
          <t>Specialty Finance and Services</t>
        </is>
      </c>
      <c r="AF53" s="12" t="inlineStr">
        <is>
          <t>Diversified Loan Services</t>
        </is>
      </c>
      <c r="AQ53" t="n">
        <v>0</v>
      </c>
      <c r="AR53" t="n">
        <v>6.361565</v>
      </c>
      <c r="AS53" t="n">
        <v>0</v>
      </c>
    </row>
    <row r="54" ht="15" customHeight="1">
      <c r="A54" s="8" t="inlineStr">
        <is>
          <t>MOZ-AU</t>
        </is>
      </c>
      <c r="B54" s="8" t="inlineStr">
        <is>
          <t>Mosaic Brands Ltd.</t>
        </is>
      </c>
      <c r="C54" s="8" t="n"/>
      <c r="D54" s="8" t="n"/>
      <c r="E54" s="8" t="n"/>
      <c r="F54" s="8" t="n"/>
      <c r="G54" s="8" t="n"/>
      <c r="H54" s="8" t="n"/>
      <c r="I54" s="8" t="n"/>
      <c r="J54" s="8" t="n"/>
      <c r="K54" s="8" t="n"/>
      <c r="L54" s="8" t="n"/>
      <c r="M54" s="8" t="n"/>
      <c r="N54" s="17" t="n"/>
      <c r="O54" s="17" t="n"/>
      <c r="P54" s="17" t="n"/>
      <c r="Q54" s="17" t="n"/>
      <c r="R54" s="10">
        <f>IFERROR(_xlfn.XLOOKUP($A54,Profitability!$A$5:$A$342,Profitability!$Q$5:$Q$342),"na")</f>
        <v/>
      </c>
      <c r="S54" s="10">
        <f>IFERROR(_xlfn.XLOOKUP($A54,Profitability!$A$5:$A$342,Profitability!$R$5:$R$342),"na")</f>
        <v/>
      </c>
      <c r="T54" s="8" t="inlineStr">
        <is>
          <t>Public</t>
        </is>
      </c>
      <c r="U54" s="8" t="inlineStr">
        <is>
          <t>Australia</t>
        </is>
      </c>
      <c r="V54" s="9" t="n">
        <v>1987</v>
      </c>
      <c r="W54" s="10" t="inlineStr">
        <is>
          <t>-</t>
        </is>
      </c>
      <c r="X54" s="11" t="n">
        <v>505.699999999999</v>
      </c>
      <c r="Y54" s="8" t="inlineStr">
        <is>
          <t>Pacific</t>
        </is>
      </c>
      <c r="Z54" s="8" t="inlineStr">
        <is>
          <t>New South Wales (NSW)</t>
        </is>
      </c>
      <c r="AA54" s="11" t="n">
        <v>317.090006255911</v>
      </c>
      <c r="AB54" s="8" t="inlineStr">
        <is>
          <t>Mosaic Brands Ltd. engages in the retail and sale of women's apparel and accessories. It offers classic and stylish contemporary fashion for woman under Noni B and Liz Jordan brand names. The company was founded by Alan A. Kindl in 1977 and is headquartered in Rosebery, Australia.</t>
        </is>
      </c>
      <c r="AC54" s="8" t="inlineStr">
        <is>
          <t>Apparel Retail</t>
        </is>
      </c>
      <c r="AD54" s="8" t="inlineStr">
        <is>
          <t>Apparel and Accessories Retail</t>
        </is>
      </c>
      <c r="AE54" s="8" t="inlineStr">
        <is>
          <t>Consumer Retail</t>
        </is>
      </c>
      <c r="AF54" s="12" t="inlineStr">
        <is>
          <t>Other Apparel Retail</t>
        </is>
      </c>
      <c r="AH54" t="n">
        <v>3300000</v>
      </c>
      <c r="AJ54" t="inlineStr">
        <is>
          <t>2024 Scope 1 GHG (3.3 Million tonnes CO2e).</t>
        </is>
      </c>
      <c r="AK54" t="n">
        <v>1200000</v>
      </c>
      <c r="AM54" t="inlineStr">
        <is>
          <t>2024 Scope 2 GHG (1.2 Million tonnes CO2e, assuming 'Tonnes CO2e' is a unit error in the source and refers to Millions for consistency with Scope 1).</t>
        </is>
      </c>
      <c r="AN54" t="n">
        <v>0</v>
      </c>
      <c r="AP54" t="inlineStr">
        <is>
          <t>No specific Scope 3 total found.</t>
        </is>
      </c>
      <c r="AQ54" t="n">
        <v>0</v>
      </c>
      <c r="AR54" t="n">
        <v>0.000526</v>
      </c>
      <c r="AS54" t="n">
        <v>0</v>
      </c>
    </row>
    <row r="55" ht="15" customHeight="1">
      <c r="A55" s="8" t="inlineStr">
        <is>
          <t>NST-AU</t>
        </is>
      </c>
      <c r="B55" s="8" t="inlineStr">
        <is>
          <t>Northern Star Resources Ltd.</t>
        </is>
      </c>
      <c r="C55" s="8" t="n"/>
      <c r="D55" s="8" t="n"/>
      <c r="E55" s="8" t="n"/>
      <c r="F55" s="8" t="n"/>
      <c r="G55" s="8" t="n"/>
      <c r="H55" s="8" t="n"/>
      <c r="I55" s="8" t="n"/>
      <c r="J55" s="8" t="n"/>
      <c r="K55" s="8" t="n"/>
      <c r="L55" s="8" t="n"/>
      <c r="M55" s="8" t="n"/>
      <c r="N55" s="17" t="n"/>
      <c r="O55" s="17" t="n"/>
      <c r="P55" s="10" t="n">
        <v>750285</v>
      </c>
      <c r="Q55" s="10" t="n">
        <v>291511</v>
      </c>
      <c r="R55" s="10">
        <f>IFERROR(_xlfn.XLOOKUP($A55,Profitability!$A$5:$A$342,Profitability!$Q$5:$Q$342),"na")</f>
        <v/>
      </c>
      <c r="S55" s="10">
        <f>IFERROR(_xlfn.XLOOKUP($A55,Profitability!$A$5:$A$342,Profitability!$R$5:$R$342),"na")</f>
        <v/>
      </c>
      <c r="T55" s="8" t="inlineStr">
        <is>
          <t>Public</t>
        </is>
      </c>
      <c r="U55" s="8" t="inlineStr">
        <is>
          <t>Australia</t>
        </is>
      </c>
      <c r="V55" s="9" t="n">
        <v>2000</v>
      </c>
      <c r="W55" s="10" t="n">
        <v>8728</v>
      </c>
      <c r="X55" s="11" t="n">
        <v>6414.9</v>
      </c>
      <c r="Y55" s="8" t="inlineStr">
        <is>
          <t>Pacific</t>
        </is>
      </c>
      <c r="Z55" s="8" t="inlineStr">
        <is>
          <t>Western Australia (WA)</t>
        </is>
      </c>
      <c r="AA55" s="11" t="n">
        <v>21050.1005188117</v>
      </c>
      <c r="AB55" s="8" t="inlineStr">
        <is>
          <t>Northern Star Resources Ltd. is a gold producer and exploration company. It operates through the following segments: KCGM, Kalgoorlie Operations, Carosue Dam, Pogo, Jundee, Thunderbox, and Exploration. The KCGM, Kalgoorlie Operations, Carosue Dam, Pogo, Jundee, and Thunderbox segments are involved in the mining and processing of gold. The Exploration segment focuses on the exploration and evaluation of gold mineralization. The company founded on May 12, 2000 and is headquartered in Subiaco, Australia.</t>
        </is>
      </c>
      <c r="AC55" s="8" t="inlineStr">
        <is>
          <t>Precious Metal Mining</t>
        </is>
      </c>
      <c r="AD55" s="8" t="inlineStr">
        <is>
          <t>Metal Ore Mining</t>
        </is>
      </c>
      <c r="AE55" s="8" t="inlineStr">
        <is>
          <t>Mining and Mineral Products</t>
        </is>
      </c>
      <c r="AF55" s="12" t="inlineStr">
        <is>
          <t>Asia/Pacific Gold Mining</t>
        </is>
      </c>
      <c r="AH55" t="n">
        <v>8368940</v>
      </c>
      <c r="AI55" t="n">
        <v>1</v>
      </c>
      <c r="AJ55" t="inlineStr">
        <is>
          <t>In our opinion, the total Scope 1 and Scope 2 Greenhouse Gas (GHG) emissions of 836,894 tCO2eq and 467,881 tCO2eq reported by Northern Star,</t>
        </is>
      </c>
      <c r="AK55" t="n">
        <v>4678810</v>
      </c>
      <c r="AL55" t="n">
        <v>1</v>
      </c>
      <c r="AM55" t="inlineStr">
        <is>
          <t>In our opinion, the total Scope 1 and Scope 2 Greenhouse Gas (GHG) emissions of 836,894 tCO2eq and 467,881 tCO2eq reported by Northern Star,</t>
        </is>
      </c>
      <c r="AN55" t="n">
        <v>836894000</v>
      </c>
      <c r="AO55" t="n">
        <v>0.95</v>
      </c>
      <c r="AP55" t="inlineStr">
        <is>
          <t>Reasonable Assurance Conclusion
"In our opinion, the total Scope 1 and Scope 2 Greenhouse Gas (GHG) emissions of 836,894 tCO2eq and 467,881 tCO2eq reported by Northern Star,"
"along with the associated GHG emissions methods, assumptions, and estimation uncertainty within the scope of our reasonable assurance engagement,"</t>
        </is>
      </c>
      <c r="AQ55" t="n">
        <v>0</v>
      </c>
      <c r="AR55" t="n">
        <v>0.208842</v>
      </c>
      <c r="AS55" t="n">
        <v>0</v>
      </c>
    </row>
    <row r="56" ht="15" customHeight="1">
      <c r="A56" s="8" t="inlineStr">
        <is>
          <t>EGG-AU</t>
        </is>
      </c>
      <c r="B56" s="8" t="inlineStr">
        <is>
          <t>Enero Group Ltd.</t>
        </is>
      </c>
      <c r="C56" s="8" t="n"/>
      <c r="D56" s="8" t="n"/>
      <c r="E56" s="8" t="n"/>
      <c r="F56" s="8" t="n"/>
      <c r="G56" s="8" t="n"/>
      <c r="H56" s="8" t="n"/>
      <c r="I56" s="8" t="n"/>
      <c r="J56" s="8" t="n"/>
      <c r="K56" s="8" t="n"/>
      <c r="L56" s="8" t="n"/>
      <c r="M56" s="8" t="n"/>
      <c r="N56" s="17" t="n"/>
      <c r="O56" s="17" t="n"/>
      <c r="P56" s="17" t="n"/>
      <c r="Q56" s="17" t="n"/>
      <c r="R56" s="10">
        <f>IFERROR(_xlfn.XLOOKUP($A56,Profitability!$A$5:$A$342,Profitability!$Q$5:$Q$342),"na")</f>
        <v/>
      </c>
      <c r="S56" s="10">
        <f>IFERROR(_xlfn.XLOOKUP($A56,Profitability!$A$5:$A$342,Profitability!$R$5:$R$342),"na")</f>
        <v/>
      </c>
      <c r="T56" s="8" t="inlineStr">
        <is>
          <t>Public</t>
        </is>
      </c>
      <c r="U56" s="8" t="inlineStr">
        <is>
          <t>Australia</t>
        </is>
      </c>
      <c r="V56" s="9" t="n">
        <v>2000</v>
      </c>
      <c r="W56" s="10" t="n">
        <v>600</v>
      </c>
      <c r="X56" s="11" t="n">
        <v>187.469999999999</v>
      </c>
      <c r="Y56" s="8" t="inlineStr">
        <is>
          <t>Pacific</t>
        </is>
      </c>
      <c r="Z56" s="8" t="inlineStr">
        <is>
          <t>New South Wales (NSW)</t>
        </is>
      </c>
      <c r="AA56" s="11" t="n">
        <v>225.785005564813</v>
      </c>
      <c r="AB56" s="8" t="inlineStr">
        <is>
          <t>Enero Group Ltd. engages in integrated marketing and communication services. It operates through the Brand Transformation, and Creative Technology and Data segments. The Brand Transformation segment refers to human generated creative ideas to transform the way customers and stakeholders connect and engage with brands. The Creative Technology and Data segment is involved with high quality customer experience connected by technology and enabled by data. The company was founded on February 9, 2000, and is headquartered in Pyrmont, Australia.</t>
        </is>
      </c>
      <c r="AC56" s="8" t="inlineStr">
        <is>
          <t>Marketing and Advertising Services</t>
        </is>
      </c>
      <c r="AD56" s="8" t="inlineStr">
        <is>
          <t>Marketing and Printing Services</t>
        </is>
      </c>
      <c r="AE56" s="8" t="inlineStr">
        <is>
          <t>Business Services</t>
        </is>
      </c>
      <c r="AF56" s="12" t="inlineStr">
        <is>
          <t>Other Marketing and Advertising Services</t>
        </is>
      </c>
      <c r="AQ56" t="n">
        <v>0</v>
      </c>
      <c r="AR56" t="n">
        <v>-0.039964</v>
      </c>
      <c r="AS56" t="n">
        <v>0</v>
      </c>
    </row>
    <row r="57" ht="15" customHeight="1">
      <c r="A57" s="8" t="inlineStr">
        <is>
          <t>AX1-AU</t>
        </is>
      </c>
      <c r="B57" s="8" t="inlineStr">
        <is>
          <t>Accent Group Ltd.</t>
        </is>
      </c>
      <c r="C57" s="8" t="n"/>
      <c r="D57" s="8" t="n"/>
      <c r="E57" s="8" t="n"/>
      <c r="F57" s="8" t="n"/>
      <c r="G57" s="8" t="n"/>
      <c r="H57" s="8" t="n"/>
      <c r="I57" s="8" t="n"/>
      <c r="J57" s="8" t="n"/>
      <c r="K57" s="8" t="n"/>
      <c r="L57" s="8" t="n"/>
      <c r="M57" s="8" t="n"/>
      <c r="N57" s="17" t="n"/>
      <c r="O57" s="17" t="n"/>
      <c r="P57" s="17" t="n"/>
      <c r="Q57" s="17" t="n"/>
      <c r="R57" s="10">
        <f>IFERROR(_xlfn.XLOOKUP($A57,Profitability!$A$5:$A$342,Profitability!$Q$5:$Q$342),"na")</f>
        <v/>
      </c>
      <c r="S57" s="10">
        <f>IFERROR(_xlfn.XLOOKUP($A57,Profitability!$A$5:$A$342,Profitability!$R$5:$R$342),"na")</f>
        <v/>
      </c>
      <c r="T57" s="8" t="inlineStr">
        <is>
          <t>Public</t>
        </is>
      </c>
      <c r="U57" s="8" t="inlineStr">
        <is>
          <t>Australia</t>
        </is>
      </c>
      <c r="V57" s="9" t="n">
        <v>2004</v>
      </c>
      <c r="W57" s="10" t="n">
        <v>8600</v>
      </c>
      <c r="X57" s="11" t="n">
        <v>1470.96741217782</v>
      </c>
      <c r="Y57" s="8" t="inlineStr">
        <is>
          <t>Pacific</t>
        </is>
      </c>
      <c r="Z57" s="8" t="inlineStr">
        <is>
          <t>Victoria (VIC)</t>
        </is>
      </c>
      <c r="AA57" s="11" t="n">
        <v>1257.89757397154</v>
      </c>
      <c r="AB57" s="8" t="inlineStr">
        <is>
          <t>Accent Group Ltd. operates as an investment holding company, which engages in the retail of performance and lifestyle footwear. It offers its products under the following brands: The Athlete's Foot, Platypus Shoes, Sneaker Lab, Hype DC, Skechers, Merrell, CAT, Vans, 4Workers, EXIE, Dr. Martens, Saucony, Timberland, Sperry, Palladium, Stance, Supra, Subtype, The Trybe, PIVOT, and Stylerunner. The company was founded by Michael Hapgood in 1966 and is headquartered in Melbourne, Australia.</t>
        </is>
      </c>
      <c r="AC57" s="8" t="inlineStr">
        <is>
          <t>Footwear Retail</t>
        </is>
      </c>
      <c r="AD57" s="8" t="inlineStr">
        <is>
          <t>Apparel and Accessories Retail</t>
        </is>
      </c>
      <c r="AE57" s="8" t="inlineStr">
        <is>
          <t>Consumer Retail</t>
        </is>
      </c>
      <c r="AF57" s="12" t="inlineStr">
        <is>
          <t>Footwear Stores</t>
        </is>
      </c>
      <c r="AR57" t="n">
        <v>0.0392</v>
      </c>
    </row>
    <row r="58" ht="15" customHeight="1">
      <c r="A58" s="8" t="inlineStr">
        <is>
          <t>INA-AU</t>
        </is>
      </c>
      <c r="B58" s="8" t="inlineStr">
        <is>
          <t>Ingenia Communities Group</t>
        </is>
      </c>
      <c r="C58" s="8" t="n"/>
      <c r="D58" s="8" t="n"/>
      <c r="E58" s="8" t="n"/>
      <c r="F58" s="8" t="n"/>
      <c r="G58" s="8" t="n"/>
      <c r="H58" s="8" t="n"/>
      <c r="I58" s="8" t="n"/>
      <c r="J58" s="8" t="n"/>
      <c r="K58" s="8" t="n"/>
      <c r="L58" s="8" t="n"/>
      <c r="M58" s="8" t="n"/>
      <c r="N58" s="17" t="n"/>
      <c r="O58" s="17" t="n"/>
      <c r="P58" s="17" t="n"/>
      <c r="Q58" s="17" t="n"/>
      <c r="R58" s="10">
        <f>IFERROR(_xlfn.XLOOKUP($A58,Profitability!$A$5:$A$342,Profitability!$Q$5:$Q$342),"na")</f>
        <v/>
      </c>
      <c r="S58" s="10">
        <f>IFERROR(_xlfn.XLOOKUP($A58,Profitability!$A$5:$A$342,Profitability!$R$5:$R$342),"na")</f>
        <v/>
      </c>
      <c r="T58" s="8" t="inlineStr">
        <is>
          <t>Public</t>
        </is>
      </c>
      <c r="U58" s="8" t="inlineStr">
        <is>
          <t>Australia</t>
        </is>
      </c>
      <c r="V58" s="9" t="n">
        <v>2003</v>
      </c>
      <c r="W58" s="10" t="inlineStr">
        <is>
          <t>-</t>
        </is>
      </c>
      <c r="X58" s="11" t="n">
        <v>518.173999999999</v>
      </c>
      <c r="Y58" s="8" t="inlineStr">
        <is>
          <t>Pacific</t>
        </is>
      </c>
      <c r="Z58" s="8" t="inlineStr">
        <is>
          <t>New South Wales (NSW)</t>
        </is>
      </c>
      <c r="AA58" s="11" t="n">
        <v>2773.15006834849</v>
      </c>
      <c r="AB58" s="8" t="inlineStr">
        <is>
          <t>Ingenia Communities Group engages in managing and developing a portfolio of retirement and lifestyle communities. It operates through the following segments: Lifestyle Development; Lifestyle Rental; Ingenia Gardens; Holidays and Mixed Use; Fuel, Food, and Beverage Services; and Corporate and Other. The Lifestyle Development segment refers to the development and sale of lifestyle homes. The Lifestyle Rental segment relates to long-term accommodation within lifestyle and rental communities. The Ingenia Gardens is involved in rental villages. The Holidays and Mixed Use segment includes tourism and rental accommodation within holiday parks. The Fuel, Food, and Beverage Services segment focuses on its investment in service stations and food and beverage operations adjoined to Ingenia Holiday communities. The Corporate and Other segment covers its remaining assets and operating activities. The company was founded on November 22, 2003 and is headquartered in The Rocks, Australia.</t>
        </is>
      </c>
      <c r="AC58" s="8" t="inlineStr">
        <is>
          <t>Equity REITs</t>
        </is>
      </c>
      <c r="AD58" s="8" t="inlineStr">
        <is>
          <t>Real Estate Investment Trusts (REITs)</t>
        </is>
      </c>
      <c r="AE58" s="8" t="inlineStr">
        <is>
          <t>Real Estate</t>
        </is>
      </c>
      <c r="AF58" s="12" t="inlineStr">
        <is>
          <t>Equity REITs</t>
        </is>
      </c>
      <c r="AH58" t="n">
        <v>1409</v>
      </c>
      <c r="AI58" t="n">
        <v>1</v>
      </c>
      <c r="AJ58" t="inlineStr">
        <is>
          <t>Scope 1 Emissions (tCO2e),"1,409","1,494"</t>
        </is>
      </c>
      <c r="AK58" t="n">
        <v>12755</v>
      </c>
      <c r="AL58" t="n">
        <v>1</v>
      </c>
      <c r="AM58" t="inlineStr">
        <is>
          <t>Scope 2 Emissions (tCO2e),"12,755","13,130"</t>
        </is>
      </c>
      <c r="AN58" t="n">
        <v>7521</v>
      </c>
      <c r="AO58" t="n">
        <v>1</v>
      </c>
      <c r="AP58" t="inlineStr">
        <is>
          <t>Resident Emissions (tCO2e) - Scope 3 Emissions for Ingenia,"7,521","8,214"</t>
        </is>
      </c>
      <c r="AQ58" t="n">
        <v>17</v>
      </c>
      <c r="AR58" t="n">
        <v>0.247841</v>
      </c>
      <c r="AS58" t="n">
        <v>0.032808</v>
      </c>
    </row>
    <row r="59" ht="15" customHeight="1">
      <c r="A59" s="8" t="inlineStr">
        <is>
          <t>MMS-AU</t>
        </is>
      </c>
      <c r="B59" s="8" t="inlineStr">
        <is>
          <t>McMillan Shakespeare Ltd.</t>
        </is>
      </c>
      <c r="C59" s="8" t="n"/>
      <c r="D59" s="8" t="inlineStr">
        <is>
          <t>Vishal</t>
        </is>
      </c>
      <c r="E59" s="8" t="inlineStr">
        <is>
          <t>Matthias Kehle</t>
        </is>
      </c>
      <c r="F59" s="8" t="inlineStr">
        <is>
          <t>Request message sent</t>
        </is>
      </c>
      <c r="G59" s="8" t="n"/>
      <c r="H59" s="8" t="n"/>
      <c r="I59" s="8" t="n"/>
      <c r="J59" s="8" t="n"/>
      <c r="K59" s="8" t="n"/>
      <c r="L59" s="8" t="n"/>
      <c r="M59" s="8" t="n"/>
      <c r="N59" s="17" t="n"/>
      <c r="O59" s="17" t="n"/>
      <c r="P59" s="17" t="n"/>
      <c r="Q59" s="17" t="n"/>
      <c r="R59" s="10">
        <f>IFERROR(_xlfn.XLOOKUP($A59,Profitability!$A$5:$A$342,Profitability!$Q$5:$Q$342),"na")</f>
        <v/>
      </c>
      <c r="S59" s="10">
        <f>IFERROR(_xlfn.XLOOKUP($A59,Profitability!$A$5:$A$342,Profitability!$R$5:$R$342),"na")</f>
        <v/>
      </c>
      <c r="T59" s="8" t="inlineStr">
        <is>
          <t>Public</t>
        </is>
      </c>
      <c r="U59" s="8" t="inlineStr">
        <is>
          <t>Australia</t>
        </is>
      </c>
      <c r="V59" s="9" t="n">
        <v>2003</v>
      </c>
      <c r="W59" s="10" t="n">
        <v>1311</v>
      </c>
      <c r="X59" s="11" t="n">
        <v>538.176999999999</v>
      </c>
      <c r="Y59" s="8" t="inlineStr">
        <is>
          <t>Pacific</t>
        </is>
      </c>
      <c r="Z59" s="8" t="inlineStr">
        <is>
          <t>Victoria (VIC)</t>
        </is>
      </c>
      <c r="AA59" s="11" t="n">
        <v>1479.925036475</v>
      </c>
      <c r="AB59" s="8" t="inlineStr">
        <is>
          <t>McMillan Shakespeare Ltd. engages in salary packaging, novated leasing, disability plan management and support co-ordination, asset management and related financial products and services. It operates through the following segments: Group Remuneration Services, Asset Management, and Plan and Support Services. The Group Remuneration Services segment offers administrative services in respect of salary packaging and facilitates the settlement of motor vehicle novated leases for customers. The Asset Management segment offers financing and ancillary management services associated with motor vehicles, commercial vehicles, and equipment. The Plan and Support Services segment engages in the management and support coordination services to participants in the National Disability Insurance Scheme (NDIS). The company was founded by Anthony G. Podesta in 1988 and is headquartered in Melbourne, Australia.</t>
        </is>
      </c>
      <c r="AC59" s="8" t="inlineStr">
        <is>
          <t>Administrative Services</t>
        </is>
      </c>
      <c r="AD59" s="8" t="inlineStr">
        <is>
          <t>Other Professional Services</t>
        </is>
      </c>
      <c r="AE59" s="8" t="inlineStr">
        <is>
          <t>Business Services</t>
        </is>
      </c>
      <c r="AF59" s="12" t="inlineStr">
        <is>
          <t>Administrative Employment Services</t>
        </is>
      </c>
      <c r="AH59" t="n">
        <v>259</v>
      </c>
      <c r="AI59" t="n">
        <v>1</v>
      </c>
      <c r="AJ59" t="inlineStr">
        <is>
          <t>Scope 1 – Group (Net),CO2-e tonnes,149,207,164</t>
        </is>
      </c>
      <c r="AK59" t="n">
        <v>591</v>
      </c>
      <c r="AL59" t="n">
        <v>1</v>
      </c>
      <c r="AM59" t="inlineStr">
        <is>
          <t>Scope 2 – Group (Net)11,CO2-e tonnes,144,143,16</t>
        </is>
      </c>
      <c r="AN59" t="n">
        <v>0</v>
      </c>
      <c r="AQ59" t="n">
        <v>0</v>
      </c>
      <c r="AR59" t="n">
        <v>0.17799</v>
      </c>
      <c r="AS59" t="n">
        <v>0</v>
      </c>
    </row>
    <row r="60" ht="15" customHeight="1">
      <c r="A60" s="8" t="inlineStr">
        <is>
          <t>PPC-AU</t>
        </is>
      </c>
      <c r="B60" s="8" t="inlineStr">
        <is>
          <t>Peet Ltd.</t>
        </is>
      </c>
      <c r="C60" s="8" t="n"/>
      <c r="D60" s="8" t="n"/>
      <c r="E60" s="8" t="n"/>
      <c r="F60" s="8" t="n"/>
      <c r="G60" s="8" t="n"/>
      <c r="H60" s="8" t="n"/>
      <c r="I60" s="8" t="n"/>
      <c r="J60" s="8" t="n"/>
      <c r="K60" s="8" t="n"/>
      <c r="L60" s="8" t="n"/>
      <c r="M60" s="8" t="n"/>
      <c r="N60" s="17" t="n"/>
      <c r="O60" s="17" t="n"/>
      <c r="P60" s="17" t="n"/>
      <c r="Q60" s="17" t="n"/>
      <c r="R60" s="10">
        <f>IFERROR(_xlfn.XLOOKUP($A60,Profitability!$A$5:$A$342,Profitability!$Q$5:$Q$342),"na")</f>
        <v/>
      </c>
      <c r="S60" s="10">
        <f>IFERROR(_xlfn.XLOOKUP($A60,Profitability!$A$5:$A$342,Profitability!$R$5:$R$342),"na")</f>
        <v/>
      </c>
      <c r="T60" s="8" t="inlineStr">
        <is>
          <t>Public</t>
        </is>
      </c>
      <c r="U60" s="8" t="inlineStr">
        <is>
          <t>Australia</t>
        </is>
      </c>
      <c r="V60" s="9" t="n">
        <v>1905</v>
      </c>
      <c r="W60" s="10" t="n">
        <v>180</v>
      </c>
      <c r="X60" s="11" t="n">
        <v>414.785</v>
      </c>
      <c r="Y60" s="8" t="inlineStr">
        <is>
          <t>Pacific</t>
        </is>
      </c>
      <c r="Z60" s="8" t="inlineStr">
        <is>
          <t>Western Australia (WA)</t>
        </is>
      </c>
      <c r="AA60" s="11" t="n">
        <v>1111.71602739992</v>
      </c>
      <c r="AB60" s="8" t="inlineStr">
        <is>
          <t>Peet Ltd. engages in the acquisition, development, and sale of residential land. It operates through the following segments: Funds Management, Company-owned Projects, Joint Arrangements, and Inter-segment Eliminations and Other Unallocated. The Funds Management segment offers equity funds towards the acquisition of land and is generally supplemented with debt funds. The Company-owned Projects segment acquires parcels of land in Australia, primarily for residential development purposes. The Joint Arrangements segment consists of government, statutory authorities, and private landowners. The Inter-segment Eliminations and Other Unallocated segment refers to the revenue, expenses, and results. The company was founded by James Thomas Peet in July 1895 and is headquartered in Perth, Australia.</t>
        </is>
      </c>
      <c r="AC60" s="8" t="inlineStr">
        <is>
          <t>Other Real Estate Investment and Services</t>
        </is>
      </c>
      <c r="AD60" s="8" t="inlineStr">
        <is>
          <t>Real Estate Investment and Services</t>
        </is>
      </c>
      <c r="AE60" s="8" t="inlineStr">
        <is>
          <t>Real Estate</t>
        </is>
      </c>
      <c r="AF60" s="12" t="inlineStr">
        <is>
          <t>Real Estate Developers</t>
        </is>
      </c>
      <c r="AR60" t="n">
        <v>0.140957</v>
      </c>
    </row>
    <row r="61" ht="15" customHeight="1">
      <c r="A61" s="8" t="inlineStr">
        <is>
          <t>PRU-AU</t>
        </is>
      </c>
      <c r="B61" s="8" t="inlineStr">
        <is>
          <t>Perseus Mining Ltd.</t>
        </is>
      </c>
      <c r="C61" s="8" t="n"/>
      <c r="D61" s="8" t="inlineStr">
        <is>
          <t>Vishal</t>
        </is>
      </c>
      <c r="E61" s="8" t="inlineStr">
        <is>
          <t>Jordan Morrissey</t>
        </is>
      </c>
      <c r="F61" s="8" t="inlineStr">
        <is>
          <t>Request message sent</t>
        </is>
      </c>
      <c r="G61" s="8" t="n"/>
      <c r="H61" s="8" t="n"/>
      <c r="I61" s="8" t="n"/>
      <c r="J61" s="8" t="n"/>
      <c r="K61" s="8" t="n"/>
      <c r="L61" s="8" t="n"/>
      <c r="M61" s="8" t="n"/>
      <c r="N61" s="17" t="n"/>
      <c r="O61" s="17" t="n"/>
      <c r="P61" s="17" t="n"/>
      <c r="Q61" s="17" t="n"/>
      <c r="R61" s="10">
        <f>IFERROR(_xlfn.XLOOKUP($A61,Profitability!$A$5:$A$342,Profitability!$Q$5:$Q$342),"na")</f>
        <v/>
      </c>
      <c r="S61" s="10">
        <f>IFERROR(_xlfn.XLOOKUP($A61,Profitability!$A$5:$A$342,Profitability!$R$5:$R$342),"na")</f>
        <v/>
      </c>
      <c r="T61" s="8" t="inlineStr">
        <is>
          <t>Public</t>
        </is>
      </c>
      <c r="U61" s="8" t="inlineStr">
        <is>
          <t>Australia</t>
        </is>
      </c>
      <c r="V61" s="9" t="n">
        <v>2003</v>
      </c>
      <c r="W61" s="10" t="inlineStr">
        <is>
          <t>-</t>
        </is>
      </c>
      <c r="X61" s="11" t="n">
        <v>1927.14990545465</v>
      </c>
      <c r="Y61" s="8" t="inlineStr">
        <is>
          <t>Pacific</t>
        </is>
      </c>
      <c r="Z61" s="8" t="inlineStr">
        <is>
          <t>Western Australia (WA)</t>
        </is>
      </c>
      <c r="AA61" s="11" t="n">
        <v>3785.54522188167</v>
      </c>
      <c r="AB61" s="8" t="inlineStr">
        <is>
          <t>Perseus Mining Ltd. engages in production of gold, mineral exploration and gold project development. It operates through the following segments: Edikan, Sissingué, Yaouré, and Corporate &amp; Other. The Edikan, Sissingué and Yaouré segments engages in mining, mineral exploration, evaluation and development activities. The Corporate &amp; Other segment engages in investing activities and corporate management. The firm holds interest in Edikan Gold Mine, Sissingué Gold Mine, and Yaouré Gold Projects. The company was founded in 2004 and is headquartered in Subiaco, Australia.</t>
        </is>
      </c>
      <c r="AC61" s="8" t="inlineStr">
        <is>
          <t>Precious Metal Mining</t>
        </is>
      </c>
      <c r="AD61" s="8" t="inlineStr">
        <is>
          <t>Metal Ore Mining</t>
        </is>
      </c>
      <c r="AE61" s="8" t="inlineStr">
        <is>
          <t>Mining and Mineral Products</t>
        </is>
      </c>
      <c r="AF61" s="12" t="inlineStr">
        <is>
          <t>Other Gold Mining</t>
        </is>
      </c>
      <c r="AH61" t="n">
        <v>186110</v>
      </c>
      <c r="AJ61" t="inlineStr">
        <is>
          <t>FY2022 Total Scope 1 emissions (tCO2-e).</t>
        </is>
      </c>
      <c r="AK61" t="n">
        <v>86724</v>
      </c>
      <c r="AM61" t="inlineStr">
        <is>
          <t>FY2022 Total Scope 2 emissions (tCO2-e), calculated using the market-based method.</t>
        </is>
      </c>
      <c r="AN61" t="n">
        <v>472742</v>
      </c>
      <c r="AP61" t="inlineStr">
        <is>
          <t>FY2022 Total Scope 3 emissions (tCO2-e).</t>
        </is>
      </c>
      <c r="AR61" t="n">
        <v>0.29715</v>
      </c>
    </row>
    <row r="62" ht="15" customHeight="1">
      <c r="A62" s="8" t="inlineStr">
        <is>
          <t>EHL-AU</t>
        </is>
      </c>
      <c r="B62" s="8" t="inlineStr">
        <is>
          <t>Emeco Holdings Ltd.</t>
        </is>
      </c>
      <c r="C62" s="8" t="n"/>
      <c r="D62" s="8" t="n"/>
      <c r="E62" s="8" t="n"/>
      <c r="F62" s="8" t="n"/>
      <c r="G62" s="8" t="n"/>
      <c r="H62" s="8" t="n"/>
      <c r="I62" s="8" t="n"/>
      <c r="J62" s="8" t="n"/>
      <c r="K62" s="8" t="n"/>
      <c r="L62" s="8" t="n"/>
      <c r="M62" s="8" t="n"/>
      <c r="N62" s="17" t="n"/>
      <c r="O62" s="17" t="n"/>
      <c r="P62" s="17" t="n"/>
      <c r="Q62" s="17" t="n"/>
      <c r="R62" s="10">
        <f>IFERROR(_xlfn.XLOOKUP($A62,Profitability!$A$5:$A$342,Profitability!$Q$5:$Q$342),"na")</f>
        <v/>
      </c>
      <c r="S62" s="10">
        <f>IFERROR(_xlfn.XLOOKUP($A62,Profitability!$A$5:$A$342,Profitability!$R$5:$R$342),"na")</f>
        <v/>
      </c>
      <c r="T62" s="8" t="inlineStr">
        <is>
          <t>Public</t>
        </is>
      </c>
      <c r="U62" s="8" t="inlineStr">
        <is>
          <t>Australia</t>
        </is>
      </c>
      <c r="V62" s="9" t="n">
        <v>2004</v>
      </c>
      <c r="W62" s="10" t="n">
        <v>909</v>
      </c>
      <c r="X62" s="11" t="n">
        <v>785.353999999999</v>
      </c>
      <c r="Y62" s="8" t="inlineStr">
        <is>
          <t>Pacific</t>
        </is>
      </c>
      <c r="Z62" s="8" t="inlineStr">
        <is>
          <t>Western Australia (WA)</t>
        </is>
      </c>
      <c r="AA62" s="11" t="n">
        <v>1247.00003073421</v>
      </c>
      <c r="AB62" s="8" t="inlineStr">
        <is>
          <t>Emeco Holdings Ltd. engages in the provision of open cut, underground mining equipment rental, and providing complementary equipment and mining services, including maintenance, asset and component rebuilds, fleet optimization technology, and technical and engineering services. It operates through the following segments: Emeco Rental, Force Workshops, and Emeco Underground. The Emeco Rental segment provides earthmoving equipment solutions. The Force Workshops segment refers to the maintenance, equipment, and component rebuild services in Australia. The Emeco Underground segment focuses on the underground equipment rental services solutions and associated services in Australia. The company was founded in 1972 and is headquartered in Osborne Park, Australia.</t>
        </is>
      </c>
      <c r="AC62" s="8" t="inlineStr">
        <is>
          <t>Equipment and Supplies Distributors</t>
        </is>
      </c>
      <c r="AD62" s="8" t="inlineStr">
        <is>
          <t>Diversified Industrials Distribution</t>
        </is>
      </c>
      <c r="AE62" s="8" t="inlineStr">
        <is>
          <t>Industrial Services</t>
        </is>
      </c>
      <c r="AF62" s="12" t="inlineStr">
        <is>
          <t>Industrial Machinery and Supplies Distributors</t>
        </is>
      </c>
      <c r="AR62" t="n">
        <v>0.095677</v>
      </c>
    </row>
    <row r="63" ht="15" customHeight="1">
      <c r="A63" s="8" t="inlineStr">
        <is>
          <t>SEK-AU</t>
        </is>
      </c>
      <c r="B63" s="8" t="inlineStr">
        <is>
          <t>SEEK Ltd.</t>
        </is>
      </c>
      <c r="C63" s="8" t="n"/>
      <c r="D63" s="8" t="n"/>
      <c r="E63" s="8" t="n"/>
      <c r="F63" s="8" t="n"/>
      <c r="G63" s="8" t="n"/>
      <c r="H63" s="8" t="n"/>
      <c r="I63" s="8" t="n"/>
      <c r="J63" s="8" t="n"/>
      <c r="K63" s="8" t="n"/>
      <c r="L63" s="8" t="n"/>
      <c r="M63" s="8" t="n"/>
      <c r="N63" s="17" t="n"/>
      <c r="O63" s="17" t="n"/>
      <c r="P63" s="17" t="n"/>
      <c r="Q63" s="17" t="n"/>
      <c r="R63" s="10">
        <f>IFERROR(_xlfn.XLOOKUP($A63,Profitability!$A$5:$A$342,Profitability!$Q$5:$Q$342),"na")</f>
        <v/>
      </c>
      <c r="S63" s="10">
        <f>IFERROR(_xlfn.XLOOKUP($A63,Profitability!$A$5:$A$342,Profitability!$R$5:$R$342),"na")</f>
        <v/>
      </c>
      <c r="T63" s="8" t="inlineStr">
        <is>
          <t>Public</t>
        </is>
      </c>
      <c r="U63" s="8" t="inlineStr">
        <is>
          <t>Australia</t>
        </is>
      </c>
      <c r="V63" s="9" t="n">
        <v>1997</v>
      </c>
      <c r="W63" s="10" t="n">
        <v>3245</v>
      </c>
      <c r="X63" s="11" t="n">
        <v>1097</v>
      </c>
      <c r="Y63" s="8" t="inlineStr">
        <is>
          <t>Pacific</t>
        </is>
      </c>
      <c r="Z63" s="8" t="inlineStr">
        <is>
          <t>Victoria (VIC)</t>
        </is>
      </c>
      <c r="AA63" s="11" t="n">
        <v>4765.50011745298</v>
      </c>
      <c r="AB63" s="8" t="inlineStr">
        <is>
          <t>SEEK Ltd. engages in the provision of online matching of hires and candidates, and other related activities. It operates through the following segments: ANZ, SEEK Asia, Brasil Online, OCC, Platform Support, Corporate Costs, and Portfolio Investment. The ANZ, SEEK Asia, Brasil Online, and OCC segments refer to the online employment marketplace services. The Platform Support segment focuses on a portfolio of investments that complement and/or have synergies with its operating platform. The Corporate Costs segment supports its core business. The Portfolio Investment segment is involved in a portfolio of investments which are managed as standalone entities. The company was founded by Paul Moss Bassat, Andrew Reuven Bassat and Matthew Myer Rockman on September 17, 1997 and is headquartered in Cremorne, Australia.</t>
        </is>
      </c>
      <c r="AC63" s="8" t="inlineStr">
        <is>
          <t>Consumer Data and Services</t>
        </is>
      </c>
      <c r="AD63" s="8" t="inlineStr">
        <is>
          <t>Internet and Data Services</t>
        </is>
      </c>
      <c r="AE63" s="8" t="inlineStr">
        <is>
          <t>Software and Consulting</t>
        </is>
      </c>
      <c r="AF63" s="12" t="inlineStr">
        <is>
          <t>Information and News Content Providers and Sites</t>
        </is>
      </c>
      <c r="AH63" t="n">
        <v>166</v>
      </c>
      <c r="AJ63" t="inlineStr">
        <is>
          <t>FY2024 Scope 1 (1% of 16,570 tCO2e), including Continuing and Discontinued Operations.</t>
        </is>
      </c>
      <c r="AK63" t="n">
        <v>1326</v>
      </c>
      <c r="AM63" t="inlineStr">
        <is>
          <t>FY2024 Scope 2 (8% of 16,570 tCO2e), including Continuing and Discontinued Operations.</t>
        </is>
      </c>
      <c r="AN63" t="n">
        <v>15079</v>
      </c>
      <c r="AP63" t="inlineStr">
        <is>
          <t>FY2024 Scope 3 (91% of 16,570 tCO2e), including Continuing and Discontinued Operations.</t>
        </is>
      </c>
      <c r="AR63" t="n">
        <v>0.217229</v>
      </c>
    </row>
    <row r="64" ht="15" customHeight="1">
      <c r="A64" s="8" t="inlineStr">
        <is>
          <t>CWY-AU</t>
        </is>
      </c>
      <c r="B64" s="8" t="inlineStr">
        <is>
          <t>Cleanaway Waste Management Ltd.</t>
        </is>
      </c>
      <c r="C64" s="8" t="n"/>
      <c r="D64" s="8" t="n"/>
      <c r="E64" s="8" t="n"/>
      <c r="F64" s="8" t="n"/>
      <c r="G64" s="8" t="n"/>
      <c r="H64" s="8" t="n"/>
      <c r="I64" s="8" t="n"/>
      <c r="J64" s="8" t="n"/>
      <c r="K64" s="8" t="n"/>
      <c r="L64" s="8" t="n"/>
      <c r="M64" s="8" t="n"/>
      <c r="N64" s="17" t="n"/>
      <c r="O64" s="17" t="n"/>
      <c r="P64" s="17" t="n"/>
      <c r="Q64" s="17" t="n"/>
      <c r="R64" s="10">
        <f>IFERROR(_xlfn.XLOOKUP($A64,Profitability!$A$5:$A$342,Profitability!$Q$5:$Q$342),"na")</f>
        <v/>
      </c>
      <c r="S64" s="10">
        <f>IFERROR(_xlfn.XLOOKUP($A64,Profitability!$A$5:$A$342,Profitability!$R$5:$R$342),"na")</f>
        <v/>
      </c>
      <c r="T64" s="8" t="inlineStr">
        <is>
          <t>Public</t>
        </is>
      </c>
      <c r="U64" s="8" t="inlineStr">
        <is>
          <t>Australia</t>
        </is>
      </c>
      <c r="V64" s="9" t="n">
        <v>2002</v>
      </c>
      <c r="W64" s="10" t="n">
        <v>10000</v>
      </c>
      <c r="X64" s="11" t="n">
        <v>3788.89999999999</v>
      </c>
      <c r="Y64" s="8" t="inlineStr">
        <is>
          <t>Pacific</t>
        </is>
      </c>
      <c r="Z64" s="8" t="inlineStr">
        <is>
          <t>Victoria (VIC)</t>
        </is>
      </c>
      <c r="AA64" s="11" t="n">
        <v>6578.20016212973</v>
      </c>
      <c r="AB64" s="8" t="inlineStr">
        <is>
          <t>Cleanaway Waste Management Ltd. engages in the provision of total waste management, industrial, and environmental services. It operates through the following segments: Solid Waste Services, ETS- Industrial Services, and ETS-Oils &amp; Technical Services and Health Services. The Solid Waste Services segment includes the collection, recovery, and disposal of all types of solid waste, including putrescible waste, inert waste, household waste, and recovered waste. The ETS- Industrial Services segment consists of a variety of services provided to the Resources, Oil and Gas, Infrastructure, Industrial markets and also include Services include vacuum loading, high pressure cleaning, pipeline maintenance and non-destructive digging. The ETS-Oils &amp; Technical Services and Health Services segment is involved in the collection, treatment, processing, refining and recycling, and destruction of hazardous and non-hazardous liquids, hydrocarbons and chemical waste, specialised product destruction, hazardous waste and e-waste, provision of services to the health sector for the safe treatment and disposal of health related waste which includes sharps management, medical waste, pharmaceutical waste, healthcare hazardous waste, and quarantine waste. The company was founded by Terrence Elmore Peabody in August 1987 and is headquartered in Melbourne, Australia.</t>
        </is>
      </c>
      <c r="AC64" s="8" t="inlineStr">
        <is>
          <t>General Waste Collection</t>
        </is>
      </c>
      <c r="AD64" s="8" t="inlineStr">
        <is>
          <t>Waste Management Services</t>
        </is>
      </c>
      <c r="AE64" s="8" t="inlineStr">
        <is>
          <t>Business Services</t>
        </is>
      </c>
      <c r="AF64" s="12" t="inlineStr">
        <is>
          <t>Diversified General Waste Collection</t>
        </is>
      </c>
      <c r="AH64" t="n">
        <v>1070000</v>
      </c>
      <c r="AI64" t="n">
        <v>0.9</v>
      </c>
      <c r="AJ64" t="inlineStr">
        <is>
          <t>CONTAINERS
PROCESSED VIA CDS 1
224 kt</t>
        </is>
      </c>
      <c r="AK64" t="n">
        <v>52000</v>
      </c>
      <c r="AL64" t="n">
        <v>0.9</v>
      </c>
      <c r="AM64" t="inlineStr">
        <is>
          <t>Our net combined Scope 1 and 2 GHG emissions in FY25 were aligned with the 1.5oC net combined Scope 1 and 2 GHG target of 1,132kt CO2-e.</t>
        </is>
      </c>
      <c r="AN64" t="n">
        <v>484000</v>
      </c>
      <c r="AO64" t="n">
        <v>0.9</v>
      </c>
      <c r="AP64" t="inlineStr">
        <is>
          <t>decarbonisation. Our Scope 3 emissions were estimated
at 484kt CO2-e, around 30% of our total footprint, with
key contributors being fuel, transport, landfill use and</t>
        </is>
      </c>
      <c r="AQ64" t="n">
        <v>1</v>
      </c>
      <c r="AR64" t="n">
        <v>0.04141</v>
      </c>
      <c r="AS64" t="n">
        <v>0.000264</v>
      </c>
    </row>
    <row r="65" ht="15" customHeight="1">
      <c r="A65" s="8" t="inlineStr">
        <is>
          <t>CAJ-AU</t>
        </is>
      </c>
      <c r="B65" s="8" t="inlineStr">
        <is>
          <t>Capitol Health Ltd.</t>
        </is>
      </c>
      <c r="C65" s="8" t="n"/>
      <c r="D65" s="8" t="n"/>
      <c r="E65" s="8" t="n"/>
      <c r="F65" s="8" t="n"/>
      <c r="G65" s="8" t="n"/>
      <c r="H65" s="8" t="n"/>
      <c r="I65" s="8" t="n"/>
      <c r="J65" s="8" t="n"/>
      <c r="K65" s="8" t="n"/>
      <c r="L65" s="8" t="n"/>
      <c r="M65" s="8" t="n"/>
      <c r="N65" s="17" t="n"/>
      <c r="O65" s="17" t="n"/>
      <c r="P65" s="17" t="n"/>
      <c r="Q65" s="17" t="n"/>
      <c r="R65" s="10">
        <f>IFERROR(_xlfn.XLOOKUP($A65,Profitability!$A$5:$A$342,Profitability!$Q$5:$Q$342),"na")</f>
        <v/>
      </c>
      <c r="S65" s="10">
        <f>IFERROR(_xlfn.XLOOKUP($A65,Profitability!$A$5:$A$342,Profitability!$R$5:$R$342),"na")</f>
        <v/>
      </c>
      <c r="T65" s="8" t="inlineStr">
        <is>
          <t>Public</t>
        </is>
      </c>
      <c r="U65" s="8" t="inlineStr">
        <is>
          <t>Australia</t>
        </is>
      </c>
      <c r="V65" s="9" t="n">
        <v>2005</v>
      </c>
      <c r="W65" s="10" t="n">
        <v>1000</v>
      </c>
      <c r="X65" s="11" t="n">
        <v>234.815999999999</v>
      </c>
      <c r="Y65" s="8" t="inlineStr">
        <is>
          <t>Pacific</t>
        </is>
      </c>
      <c r="Z65" s="8" t="inlineStr">
        <is>
          <t>Victoria (VIC)</t>
        </is>
      </c>
      <c r="AA65" s="11" t="n">
        <v>319.483997583475</v>
      </c>
      <c r="AB65" s="8" t="inlineStr">
        <is>
          <t>Capitol Health Ltd. provides diagnostic imaging and related services. It provides general x-ray, magnetic resonance imaging, ultrasound, mammography, doppler, orthopantomogram, echocardiography, computer tomography, computed tomography angiography, cone beam computed tomography, nuclear medicine, bone densitomety, and fluoroscopy services. The company was founded by Andrew Duncan Harrison on December 1, 2005 and is headquartered in Docklands, Australia.</t>
        </is>
      </c>
      <c r="AC65" s="8" t="inlineStr">
        <is>
          <t>Ambulatory and Outpatient Diagnostic Patient Care</t>
        </is>
      </c>
      <c r="AD65" s="8" t="inlineStr">
        <is>
          <t>Patient Care</t>
        </is>
      </c>
      <c r="AE65" s="8" t="inlineStr">
        <is>
          <t>Healthcare Services</t>
        </is>
      </c>
      <c r="AF65" s="12" t="inlineStr">
        <is>
          <t>Other Ambulatory and Outpatient Diagnostic Care</t>
        </is>
      </c>
      <c r="AR65" t="n">
        <v>-0.063254</v>
      </c>
    </row>
    <row r="66" ht="15" customHeight="1">
      <c r="A66" s="8" t="inlineStr">
        <is>
          <t>GOR-AU</t>
        </is>
      </c>
      <c r="B66" s="8" t="inlineStr">
        <is>
          <t>Gold Road Resources Ltd.</t>
        </is>
      </c>
      <c r="C66" s="8" t="n"/>
      <c r="D66" s="8" t="n"/>
      <c r="E66" s="8" t="n"/>
      <c r="F66" s="8" t="n"/>
      <c r="G66" s="8" t="n"/>
      <c r="H66" s="8" t="n"/>
      <c r="I66" s="8" t="n"/>
      <c r="J66" s="8" t="n"/>
      <c r="K66" s="8" t="n"/>
      <c r="L66" s="8" t="n"/>
      <c r="M66" s="8" t="n"/>
      <c r="N66" s="17" t="n"/>
      <c r="O66" s="17" t="n"/>
      <c r="P66" s="10" t="n"/>
      <c r="Q66" s="10" t="n"/>
      <c r="R66" s="10">
        <f>IFERROR(_xlfn.XLOOKUP($A66,Profitability!$A$5:$A$342,Profitability!$Q$5:$Q$342),"na")</f>
        <v/>
      </c>
      <c r="S66" s="10">
        <f>IFERROR(_xlfn.XLOOKUP($A66,Profitability!$A$5:$A$342,Profitability!$R$5:$R$342),"na")</f>
        <v/>
      </c>
      <c r="T66" s="8" t="inlineStr">
        <is>
          <t>Public</t>
        </is>
      </c>
      <c r="U66" s="8" t="inlineStr">
        <is>
          <t>Australia</t>
        </is>
      </c>
      <c r="V66" s="9" t="n">
        <v>2004</v>
      </c>
      <c r="W66" s="10" t="inlineStr">
        <is>
          <t>-</t>
        </is>
      </c>
      <c r="X66" s="11" t="n">
        <v>528.459999999999</v>
      </c>
      <c r="Y66" s="8" t="inlineStr">
        <is>
          <t>Pacific</t>
        </is>
      </c>
      <c r="Z66" s="8" t="inlineStr">
        <is>
          <t>Western Australia (WA)</t>
        </is>
      </c>
      <c r="AA66" s="11" t="n">
        <v>1536.06495235394</v>
      </c>
      <c r="AB66" s="8" t="inlineStr">
        <is>
          <t>Gold Road Resources Ltd. operates as a gold exploration company. It focuses on developing the Yamarna Belt comprising Gruyere, Central Bore and Attila projects. The firm operates through Development &amp; Production and Exploration business segments. The Development &amp; Production includes Gruyere joint operation with gold fields, which transitioned from development to production phase during the year. The Exploration segment includes the activities on all mineral exploration, including all joint venture tenements. The company was founded on May 28, 2004 and is headquartered in West Perth, Australia.</t>
        </is>
      </c>
      <c r="AC66" s="8" t="inlineStr">
        <is>
          <t>Precious Metal Mining</t>
        </is>
      </c>
      <c r="AD66" s="8" t="inlineStr">
        <is>
          <t>Metal Ore Mining</t>
        </is>
      </c>
      <c r="AE66" s="8" t="inlineStr">
        <is>
          <t>Mining and Mineral Products</t>
        </is>
      </c>
      <c r="AF66" s="12" t="inlineStr">
        <is>
          <t>Asia/Pacific Gold Mining</t>
        </is>
      </c>
      <c r="AH66" t="n">
        <v>800800</v>
      </c>
      <c r="AI66" t="n">
        <v>1</v>
      </c>
      <c r="AJ66" t="inlineStr">
        <is>
          <t>287koz,8.81GJ/oz,287koz,3.80GJ/oz,331koz,5.52GJ/oz,229koz,4.08GJ/oz,267koz,7.26GJ/oz
,Scope 1 and 2,,Scope 1 and 2,,Scope 1 and 2,,Scope 1 and 2,,Scope 1 and 2
Renewable electricity,emissions,Renewable electricity,emissions,Renewable electricity,emissions,Renewable electricity,emissions,Renewable electricity,emissions</t>
        </is>
      </c>
      <c r="AK66" t="n">
        <v>831600</v>
      </c>
      <c r="AL66" t="n">
        <v>1</v>
      </c>
      <c r="AM66" t="inlineStr">
        <is>
          <t>Group carbon footprint: Scope 1 and 2 emissions (kt CO2e),,,,,,,,,,,,,
,,,,,Scope 1  emissions,,,,Scope 2  emissions,,,,
,,Diesel: haulage and,Diesel: power,,All other Scope 1,Total Scope 1,,Total Scope 1,Total Scope 2,Total Scope 2,Total Scope 1 and 2,,Total Scope 1 and 2</t>
        </is>
      </c>
      <c r="AN66" t="n">
        <v>823000</v>
      </c>
      <c r="AO66" t="n">
        <v>1</v>
      </c>
      <c r="AP66" t="inlineStr">
        <is>
          <t>Decarbonisation,,,,,,,,,,
•,Developed energy security,•,Set 2030 Scope 1 and 2 emissions,•,Re-baselined Scope 3 emissions,• Mid-point review of,•,Update reporting and visualisation,,• Maintain full visualisation of
,assessments and five-year,,targets,,and set target for a 10% net,Decarbonisation Strategy,•,Continue implementing,,energy in real time</t>
        </is>
      </c>
      <c r="AQ66" t="n">
        <v>7</v>
      </c>
      <c r="AR66" t="n">
        <v>0.270024</v>
      </c>
      <c r="AS66" t="n">
        <v>0.013246</v>
      </c>
    </row>
    <row r="67" ht="15" customHeight="1">
      <c r="A67" s="8" t="inlineStr">
        <is>
          <t>SVR-AU</t>
        </is>
      </c>
      <c r="B67" s="8" t="inlineStr">
        <is>
          <t>Solvar Ltd.</t>
        </is>
      </c>
      <c r="C67" s="8" t="n"/>
      <c r="D67" s="8" t="n"/>
      <c r="E67" s="8" t="n"/>
      <c r="F67" s="8" t="n"/>
      <c r="G67" s="8" t="n"/>
      <c r="H67" s="8" t="n"/>
      <c r="I67" s="8" t="n"/>
      <c r="J67" s="8" t="n"/>
      <c r="K67" s="8" t="n"/>
      <c r="L67" s="8" t="n"/>
      <c r="M67" s="8" t="n"/>
      <c r="N67" s="17" t="n"/>
      <c r="O67" s="17" t="n"/>
      <c r="P67" s="17" t="n"/>
      <c r="Q67" s="17" t="n"/>
      <c r="R67" s="10">
        <f>IFERROR(_xlfn.XLOOKUP($A67,Profitability!$A$5:$A$342,Profitability!$Q$5:$Q$342),"na")</f>
        <v/>
      </c>
      <c r="S67" s="10">
        <f>IFERROR(_xlfn.XLOOKUP($A67,Profitability!$A$5:$A$342,Profitability!$R$5:$R$342),"na")</f>
        <v/>
      </c>
      <c r="T67" s="8" t="inlineStr">
        <is>
          <t>Public</t>
        </is>
      </c>
      <c r="U67" s="8" t="inlineStr">
        <is>
          <t>Australia</t>
        </is>
      </c>
      <c r="V67" s="9" t="n">
        <v>2005</v>
      </c>
      <c r="W67" s="10" t="inlineStr">
        <is>
          <t>-</t>
        </is>
      </c>
      <c r="X67" s="11" t="n">
        <v>207.381</v>
      </c>
      <c r="Y67" s="8" t="inlineStr">
        <is>
          <t>Pacific</t>
        </is>
      </c>
      <c r="Z67" s="8" t="inlineStr">
        <is>
          <t>Victoria (VIC)</t>
        </is>
      </c>
      <c r="AA67" s="11" t="n">
        <v>961.587023699772</v>
      </c>
      <c r="AB67" s="8" t="inlineStr">
        <is>
          <t>Solvar Ltd. is a non-bank credit provider. It is focused on the provision of automotive finance in Australia and New Zealand. The firm engages in providing flexible secured and unsecured personal loans to customers often excluded by traditional lenders. The company was founded on November 25, 2005 and is headquartered in Bundoora, Australia.</t>
        </is>
      </c>
      <c r="AC67" s="8" t="inlineStr">
        <is>
          <t>Consumer Finance Services</t>
        </is>
      </c>
      <c r="AD67" s="8" t="inlineStr">
        <is>
          <t>Specialty Finance</t>
        </is>
      </c>
      <c r="AE67" s="8" t="inlineStr">
        <is>
          <t>Specialty Finance and Services</t>
        </is>
      </c>
      <c r="AF67" s="12" t="inlineStr">
        <is>
          <t>Automobile Financing</t>
        </is>
      </c>
      <c r="AR67" t="n">
        <v>0.151509</v>
      </c>
    </row>
    <row r="68" ht="15" customHeight="1">
      <c r="A68" s="8" t="inlineStr">
        <is>
          <t>HUM-AU</t>
        </is>
      </c>
      <c r="B68" s="8" t="inlineStr">
        <is>
          <t>Humm Group Ltd.</t>
        </is>
      </c>
      <c r="C68" s="8" t="n"/>
      <c r="D68" s="8" t="n"/>
      <c r="E68" s="8" t="n"/>
      <c r="F68" s="8" t="n"/>
      <c r="G68" s="8" t="n"/>
      <c r="H68" s="8" t="n"/>
      <c r="I68" s="8" t="n"/>
      <c r="J68" s="8" t="n"/>
      <c r="K68" s="8" t="n"/>
      <c r="L68" s="8" t="n"/>
      <c r="M68" s="8" t="n"/>
      <c r="N68" s="17" t="n"/>
      <c r="O68" s="17" t="n"/>
      <c r="P68" s="17" t="n"/>
      <c r="Q68" s="17" t="n"/>
      <c r="R68" s="10">
        <f>IFERROR(_xlfn.XLOOKUP($A68,Profitability!$A$5:$A$342,Profitability!$Q$5:$Q$342),"na")</f>
        <v/>
      </c>
      <c r="S68" s="10">
        <f>IFERROR(_xlfn.XLOOKUP($A68,Profitability!$A$5:$A$342,Profitability!$R$5:$R$342),"na")</f>
        <v/>
      </c>
      <c r="T68" s="8" t="inlineStr">
        <is>
          <t>Public</t>
        </is>
      </c>
      <c r="U68" s="8" t="inlineStr">
        <is>
          <t>Australia</t>
        </is>
      </c>
      <c r="V68" s="9" t="n">
        <v>2006</v>
      </c>
      <c r="W68" s="10" t="inlineStr">
        <is>
          <t>-</t>
        </is>
      </c>
      <c r="X68" s="11" t="n">
        <v>666.6</v>
      </c>
      <c r="Y68" s="8" t="inlineStr">
        <is>
          <t>Pacific</t>
        </is>
      </c>
      <c r="Z68" s="8" t="inlineStr">
        <is>
          <t>New South Wales (NSW)</t>
        </is>
      </c>
      <c r="AA68" s="11" t="n">
        <v>5338.30013157051</v>
      </c>
      <c r="AB68" s="8" t="inlineStr">
        <is>
          <t>Humm Group Ltd. operates as a financial services group, which engages in the financial products through a network of retailers and brokers. The firm's activities include a variety of financial risks, liquidity risk, funding risk, credit risk and market risk. It operates through the following segments: PosPP, New Zealand Cards, Australia Cards, and Commercial. The company was founded by David Berkman and Andrew Abercrombie in 1988 and is headquartered in Sydney, Australia.</t>
        </is>
      </c>
      <c r="AC68" s="8" t="inlineStr">
        <is>
          <t>Consumer Finance Services</t>
        </is>
      </c>
      <c r="AD68" s="8" t="inlineStr">
        <is>
          <t>Specialty Finance</t>
        </is>
      </c>
      <c r="AE68" s="8" t="inlineStr">
        <is>
          <t>Specialty Finance and Services</t>
        </is>
      </c>
      <c r="AF68" s="12" t="inlineStr">
        <is>
          <t>General Consumer Finance Services</t>
        </is>
      </c>
      <c r="AH68" t="n">
        <v>0</v>
      </c>
      <c r="AJ68" t="inlineStr">
        <is>
          <t>No Scope 1 emissions figure explicitly reported. The Company's GHG emission is limited to Scope 2 indirect and Scope 3 other indirect.</t>
        </is>
      </c>
      <c r="AK68" t="n">
        <v>291</v>
      </c>
      <c r="AM68" t="inlineStr">
        <is>
          <t>FY21 Scope 2: Electricity GHG emissions (tCO2e).</t>
        </is>
      </c>
      <c r="AN68" t="n">
        <v>216</v>
      </c>
      <c r="AP68" t="inlineStr">
        <is>
          <t>FY21 Scope 3: Travel GHG emissions (tCO2e). Currently, Scope 3 indirect emissions recorded are limited to travel.</t>
        </is>
      </c>
      <c r="AR68" t="n">
        <v>0.059406</v>
      </c>
    </row>
    <row r="69" ht="15" customHeight="1">
      <c r="A69" s="8" t="inlineStr">
        <is>
          <t>EGN-AU</t>
        </is>
      </c>
      <c r="B69" s="8" t="inlineStr">
        <is>
          <t>Engenco Ltd.</t>
        </is>
      </c>
      <c r="C69" s="8" t="n"/>
      <c r="D69" s="8" t="n"/>
      <c r="E69" s="8" t="n"/>
      <c r="F69" s="8" t="n"/>
      <c r="G69" s="8" t="n"/>
      <c r="H69" s="8" t="n"/>
      <c r="I69" s="8" t="n"/>
      <c r="J69" s="8" t="n"/>
      <c r="K69" s="8" t="n"/>
      <c r="L69" s="8" t="n"/>
      <c r="M69" s="8" t="n"/>
      <c r="N69" s="17" t="n"/>
      <c r="O69" s="17" t="n"/>
      <c r="P69" s="17" t="n"/>
      <c r="Q69" s="17" t="n"/>
      <c r="R69" s="10">
        <f>IFERROR(_xlfn.XLOOKUP($A69,Profitability!$A$5:$A$342,Profitability!$Q$5:$Q$342),"na")</f>
        <v/>
      </c>
      <c r="S69" s="10">
        <f>IFERROR(_xlfn.XLOOKUP($A69,Profitability!$A$5:$A$342,Profitability!$R$5:$R$342),"na")</f>
        <v/>
      </c>
      <c r="T69" s="8" t="inlineStr">
        <is>
          <t>Public</t>
        </is>
      </c>
      <c r="U69" s="8" t="inlineStr">
        <is>
          <t>Australia</t>
        </is>
      </c>
      <c r="V69" s="9" t="n">
        <v>2006</v>
      </c>
      <c r="W69" s="10" t="n">
        <v>500</v>
      </c>
      <c r="X69" s="11" t="n">
        <v>214.846999999999</v>
      </c>
      <c r="Y69" s="8" t="inlineStr">
        <is>
          <t>Pacific</t>
        </is>
      </c>
      <c r="Z69" s="8" t="inlineStr">
        <is>
          <t>Victoria (VIC)</t>
        </is>
      </c>
      <c r="AA69" s="11" t="n">
        <v>190.49599855912</v>
      </c>
      <c r="AB69" s="8" t="inlineStr">
        <is>
          <t>Engenco Ltd. engages in the provision of engineering services. It operates through the following business segments: Drivetrain, Convair, Gemco Rail, Workforce Solutions, and All Other. The Drivetrain segment is a provider of technical sales and services to the mining, oil &amp; gas, rail, transport, defence, marine, construction, materials handling, automotive, agriculture, and power generation industries. The Convair segment is a manufacturer of bulk pneumatic road tankers and mobile silos for the carriage and storage of construction materials, grains, and other dry bulk materials. The Gemco Rail segment provides wheelset, bogie and in-field wagon maintenance and manufactures new and refurbished wagons, bogie component parts, remote controlled ballast car discharge gates, and a range of rail maintenance equipment and spares. The Workforce Solutions segment includes the people focused business, providing training and labour hire via its business units of Centre for Excellence in Rail Training, Total Momentum and Eureka 4WD Training. The All Other segment focuses on the parent entity, non-reportable segments and consolidation / inter-segment elimination adjustments. The company was founded in 1989 and is headquartered in Melbourne, Australia.</t>
        </is>
      </c>
      <c r="AC69" s="8" t="inlineStr">
        <is>
          <t>Commercial Transportation Equipment Manufacturing</t>
        </is>
      </c>
      <c r="AD69" s="8" t="inlineStr">
        <is>
          <t>Transportation Equipment Manufacturing</t>
        </is>
      </c>
      <c r="AE69" s="8" t="inlineStr">
        <is>
          <t>Industrial Manufacturing</t>
        </is>
      </c>
      <c r="AF69" s="12" t="inlineStr">
        <is>
          <t>Mixed Commercial Transportation Equipment Makers</t>
        </is>
      </c>
      <c r="AR69" t="n">
        <v>0.018292</v>
      </c>
    </row>
    <row r="70" ht="15" customHeight="1">
      <c r="A70" s="8" t="inlineStr">
        <is>
          <t>BCI-AU</t>
        </is>
      </c>
      <c r="B70" s="8" t="inlineStr">
        <is>
          <t>BCI Minerals Ltd.</t>
        </is>
      </c>
      <c r="C70" s="8" t="n"/>
      <c r="D70" s="8" t="inlineStr">
        <is>
          <t>Vishal</t>
        </is>
      </c>
      <c r="E70" s="8" t="inlineStr">
        <is>
          <t>Nicholas Gajewski</t>
        </is>
      </c>
      <c r="F70" s="8" t="inlineStr">
        <is>
          <t>Request message sent</t>
        </is>
      </c>
      <c r="G70" s="8" t="n"/>
      <c r="H70" s="8" t="n"/>
      <c r="I70" s="8" t="n"/>
      <c r="J70" s="8" t="n"/>
      <c r="K70" s="8" t="n"/>
      <c r="L70" s="8" t="n"/>
      <c r="M70" s="8" t="n"/>
      <c r="N70" s="17" t="n"/>
      <c r="O70" s="17" t="n"/>
      <c r="P70" s="17" t="n"/>
      <c r="Q70" s="17" t="n"/>
      <c r="R70" s="10">
        <f>IFERROR(_xlfn.XLOOKUP($A70,Profitability!$A$5:$A$342,Profitability!$Q$5:$Q$342),"na")</f>
        <v/>
      </c>
      <c r="S70" s="10">
        <f>IFERROR(_xlfn.XLOOKUP($A70,Profitability!$A$5:$A$342,Profitability!$R$5:$R$342),"na")</f>
        <v/>
      </c>
      <c r="T70" s="8" t="inlineStr">
        <is>
          <t>Public</t>
        </is>
      </c>
      <c r="U70" s="8" t="inlineStr">
        <is>
          <t>Australia</t>
        </is>
      </c>
      <c r="V70" s="9" t="n">
        <v>2006</v>
      </c>
      <c r="W70" s="10" t="inlineStr">
        <is>
          <t>-</t>
        </is>
      </c>
      <c r="X70" s="11" t="n">
        <v>0</v>
      </c>
      <c r="Y70" s="8" t="inlineStr">
        <is>
          <t>Pacific</t>
        </is>
      </c>
      <c r="Z70" s="8" t="inlineStr">
        <is>
          <t>Western Australia (WA)</t>
        </is>
      </c>
      <c r="AA70" s="11" t="n">
        <v>1197.26802950849</v>
      </c>
      <c r="AB70" s="8" t="inlineStr">
        <is>
          <t>BCI Minerals Ltd. is a mineral resources company, which engages in developing and industrial mineral business with salt and potash as its initial focus. It operates through the Mardie and Corporate and Other segments. The Mardie segment includes all activities related to the development and future operation of the Mardie Salt Operation and Potash Project which is the Group's principal project and primary focus of capital investment. The Corporate and Other segment focuses on the head office and corporate support functions, such as executive management, finance, legal, governance, and other administrative functions. The company was founded in 2006 and is headquartered in West Perth, Australia.</t>
        </is>
      </c>
      <c r="AC70" s="8" t="inlineStr">
        <is>
          <t>Nonmetallic Mineral Mining</t>
        </is>
      </c>
      <c r="AD70" s="8" t="inlineStr">
        <is>
          <t>Other Mining</t>
        </is>
      </c>
      <c r="AE70" s="8" t="inlineStr">
        <is>
          <t>Mining and Mineral Products</t>
        </is>
      </c>
      <c r="AF70" s="12" t="inlineStr">
        <is>
          <t>Other Nonmetallic Minerals Mining</t>
        </is>
      </c>
      <c r="AH70" t="n">
        <v>14183</v>
      </c>
      <c r="AI70" t="n">
        <v>1</v>
      </c>
      <c r="AJ70" t="inlineStr">
        <is>
          <t>Greenhouse and Energy Reporting (NGER),
"requirements. BCI contributed 14,183 t",
CO2-e (Scope 1) and 53 t CO2-e (Scope 2) for,</t>
        </is>
      </c>
      <c r="AK70" t="n">
        <v>53</v>
      </c>
      <c r="AL70" t="n">
        <v>1</v>
      </c>
      <c r="AM70" t="inlineStr">
        <is>
          <t>BCI contributed 53 t CO2-e (Scope 2) for FY24, which is below the NGER emissions reporting thresholds.</t>
        </is>
      </c>
      <c r="AN70" t="n">
        <v>0</v>
      </c>
      <c r="AO70" t="n">
        <v>0.95</v>
      </c>
      <c r="AP70" t="inlineStr">
        <is>
          <t>"requirements. BCI contributed 14,183 t",
CO2-e (Scope 1) and 53 t CO2-e (Scope 2) for,
"FY24, which is below the NGER emissions",</t>
        </is>
      </c>
      <c r="AQ70" t="n">
        <v>0</v>
      </c>
    </row>
    <row r="71" ht="15" customHeight="1">
      <c r="A71" s="8" t="inlineStr">
        <is>
          <t>GMD-AU</t>
        </is>
      </c>
      <c r="B71" s="8" t="inlineStr">
        <is>
          <t>Genesis Minerals Ltd.</t>
        </is>
      </c>
      <c r="C71" s="8" t="n"/>
      <c r="D71" s="8" t="n"/>
      <c r="E71" s="8" t="n"/>
      <c r="F71" s="8" t="n"/>
      <c r="G71" s="8" t="n"/>
      <c r="H71" s="8" t="n"/>
      <c r="I71" s="8" t="n"/>
      <c r="J71" s="8" t="n"/>
      <c r="K71" s="8" t="n"/>
      <c r="L71" s="8" t="n"/>
      <c r="M71" s="8" t="n"/>
      <c r="N71" s="17" t="n"/>
      <c r="O71" s="17" t="n"/>
      <c r="P71" s="10" t="n">
        <v>110615</v>
      </c>
      <c r="Q71" s="17" t="n">
        <v>587</v>
      </c>
      <c r="R71" s="10">
        <f>IFERROR(_xlfn.XLOOKUP($A71,Profitability!$A$5:$A$342,Profitability!$Q$5:$Q$342),"na")</f>
        <v/>
      </c>
      <c r="S71" s="10">
        <f>IFERROR(_xlfn.XLOOKUP($A71,Profitability!$A$5:$A$342,Profitability!$R$5:$R$342),"na")</f>
        <v/>
      </c>
      <c r="T71" s="8" t="inlineStr">
        <is>
          <t>Public</t>
        </is>
      </c>
      <c r="U71" s="8" t="inlineStr">
        <is>
          <t>Australia</t>
        </is>
      </c>
      <c r="V71" s="9" t="n">
        <v>2007</v>
      </c>
      <c r="W71" s="10" t="inlineStr">
        <is>
          <t>-</t>
        </is>
      </c>
      <c r="X71" s="11" t="n">
        <v>920.141</v>
      </c>
      <c r="Y71" s="8" t="inlineStr">
        <is>
          <t>Pacific</t>
        </is>
      </c>
      <c r="Z71" s="8" t="inlineStr">
        <is>
          <t>Western Australia (WA)</t>
        </is>
      </c>
      <c r="AA71" s="11" t="n">
        <v>1797.92204431251</v>
      </c>
      <c r="AB71" s="8" t="inlineStr">
        <is>
          <t>Genesis Minerals Ltd. engages in the exploration and development of gold deposits in Western Australia. Its projects include Leonora Gold and Barimaia Gold. The company was founded on April 16, 2007 and is headquartered in Perth, Australia.</t>
        </is>
      </c>
      <c r="AC71" s="8" t="inlineStr">
        <is>
          <t>Precious Metal Mining</t>
        </is>
      </c>
      <c r="AD71" s="8" t="inlineStr">
        <is>
          <t>Metal Ore Mining</t>
        </is>
      </c>
      <c r="AE71" s="8" t="inlineStr">
        <is>
          <t>Mining and Mineral Products</t>
        </is>
      </c>
      <c r="AF71" s="12" t="inlineStr">
        <is>
          <t>Asia/Pacific Gold Mining</t>
        </is>
      </c>
      <c r="AH71" t="n">
        <v>174700</v>
      </c>
      <c r="AI71" t="n">
        <v>1</v>
      </c>
      <c r="AJ71" t="inlineStr">
        <is>
          <t>174.7kt CO -e2</t>
        </is>
      </c>
      <c r="AK71" t="n">
        <v>1500</v>
      </c>
      <c r="AL71" t="n">
        <v>1</v>
      </c>
      <c r="AM71" t="inlineStr">
        <is>
          <t>1.5kt CO -e2</t>
        </is>
      </c>
      <c r="AN71" t="n">
        <v>0</v>
      </c>
      <c r="AO71" t="n">
        <v>0.95</v>
      </c>
      <c r="AP71" t="inlineStr">
        <is>
          <t>,174.7kt CO -e2,1.5kt CO -e2
,FY24: 110.6kt CO -e2,FY24: 0.6kt CO -e2
Genesis recognises that climate change is a pressing global issue. We are committed to,,</t>
        </is>
      </c>
      <c r="AQ71" t="n">
        <v>0</v>
      </c>
      <c r="AR71" t="n">
        <v>0.240368</v>
      </c>
      <c r="AS71" t="n">
        <v>0</v>
      </c>
    </row>
    <row r="72" ht="15" customHeight="1">
      <c r="A72" s="8" t="inlineStr">
        <is>
          <t>SRG-AU</t>
        </is>
      </c>
      <c r="B72" s="8" t="inlineStr">
        <is>
          <t>SRG Global Ltd.</t>
        </is>
      </c>
      <c r="C72" s="8" t="n"/>
      <c r="D72" s="8" t="n"/>
      <c r="E72" s="8" t="n"/>
      <c r="F72" s="8" t="n"/>
      <c r="G72" s="8" t="n"/>
      <c r="H72" s="8" t="n"/>
      <c r="I72" s="8" t="n"/>
      <c r="J72" s="8" t="n"/>
      <c r="K72" s="8" t="n"/>
      <c r="L72" s="8" t="n"/>
      <c r="M72" s="8" t="n"/>
      <c r="N72" s="17" t="n"/>
      <c r="O72" s="17" t="n"/>
      <c r="P72" s="17" t="n"/>
      <c r="Q72" s="17" t="n"/>
      <c r="R72" s="10">
        <f>IFERROR(_xlfn.XLOOKUP($A72,Profitability!$A$5:$A$342,Profitability!$Q$5:$Q$342),"na")</f>
        <v/>
      </c>
      <c r="S72" s="10">
        <f>IFERROR(_xlfn.XLOOKUP($A72,Profitability!$A$5:$A$342,Profitability!$R$5:$R$342),"na")</f>
        <v/>
      </c>
      <c r="T72" s="8" t="inlineStr">
        <is>
          <t>Public</t>
        </is>
      </c>
      <c r="U72" s="8" t="inlineStr">
        <is>
          <t>Australia</t>
        </is>
      </c>
      <c r="V72" s="9" t="n">
        <v>2003</v>
      </c>
      <c r="W72" s="10" t="inlineStr">
        <is>
          <t>-</t>
        </is>
      </c>
      <c r="X72" s="11" t="n">
        <v>1323.307</v>
      </c>
      <c r="Y72" s="8" t="inlineStr">
        <is>
          <t>Pacific</t>
        </is>
      </c>
      <c r="Z72" s="8" t="inlineStr">
        <is>
          <t>Western Australia (WA)</t>
        </is>
      </c>
      <c r="AA72" s="11" t="n">
        <v>881.0800217155549</v>
      </c>
      <c r="AB72" s="8" t="inlineStr">
        <is>
          <t>SRG Global Ltd. engages in the provision of asset services on land. It operates through the following segments: Maintenance and Industrial Services, Engineering and Construction, and Corporate. The Maintenance and Industrial Services segment focuses on supplying integrated services to customers across the entire asset life cycle. The Engineering and Construction segment is involved in supplying integrated products and services to customers involved in the construction of complex infrastructure. The company was founded in 1961 and is headquartered in Subiaco, Australia.</t>
        </is>
      </c>
      <c r="AC72" s="8" t="inlineStr">
        <is>
          <t>Infrastructure Construction/Contracting Services</t>
        </is>
      </c>
      <c r="AD72" s="8" t="inlineStr">
        <is>
          <t>Facilities and Construction Services</t>
        </is>
      </c>
      <c r="AE72" s="8" t="inlineStr">
        <is>
          <t>Industrial Services</t>
        </is>
      </c>
      <c r="AF72" s="12" t="inlineStr">
        <is>
          <t>Diverse Construction and Engineering Services</t>
        </is>
      </c>
      <c r="AH72" t="n">
        <v>1341</v>
      </c>
      <c r="AJ72" t="inlineStr">
        <is>
          <t>FY25 Scope 1 emissions (tCO2-e).</t>
        </is>
      </c>
      <c r="AK72" t="n">
        <v>54937</v>
      </c>
      <c r="AM72" t="inlineStr">
        <is>
          <t>FY25 Market Based Scope 2 emissions (tCO2-e).</t>
        </is>
      </c>
      <c r="AN72" t="n">
        <v>0</v>
      </c>
      <c r="AP72" t="inlineStr">
        <is>
          <t>Scope 3 calculation figure is not able to be published this reporting period.</t>
        </is>
      </c>
      <c r="AR72" t="n">
        <v>0.035881</v>
      </c>
    </row>
    <row r="73" ht="15" customHeight="1">
      <c r="A73" s="8" t="inlineStr">
        <is>
          <t>SYR-AU</t>
        </is>
      </c>
      <c r="B73" s="8" t="inlineStr">
        <is>
          <t>Syrah Resources Ltd.</t>
        </is>
      </c>
      <c r="C73" s="8" t="n"/>
      <c r="D73" s="8" t="n"/>
      <c r="E73" s="8" t="n"/>
      <c r="F73" s="8" t="n"/>
      <c r="G73" s="8" t="n"/>
      <c r="H73" s="8" t="n"/>
      <c r="I73" s="8" t="n"/>
      <c r="J73" s="8" t="n"/>
      <c r="K73" s="8" t="n"/>
      <c r="L73" s="8" t="n"/>
      <c r="M73" s="8" t="n"/>
      <c r="N73" s="17" t="n"/>
      <c r="O73" s="17" t="n"/>
      <c r="P73" s="17" t="n"/>
      <c r="Q73" s="17" t="n"/>
      <c r="R73" s="10">
        <f>IFERROR(_xlfn.XLOOKUP($A73,Profitability!$A$5:$A$342,Profitability!$Q$5:$Q$342),"na")</f>
        <v/>
      </c>
      <c r="S73" s="10">
        <f>IFERROR(_xlfn.XLOOKUP($A73,Profitability!$A$5:$A$342,Profitability!$R$5:$R$342),"na")</f>
        <v/>
      </c>
      <c r="T73" s="8" t="inlineStr">
        <is>
          <t>Public</t>
        </is>
      </c>
      <c r="U73" s="8" t="inlineStr">
        <is>
          <t>Australia</t>
        </is>
      </c>
      <c r="V73" s="9" t="n">
        <v>2007</v>
      </c>
      <c r="W73" s="10" t="n">
        <v>615</v>
      </c>
      <c r="X73" s="11" t="n">
        <v>47.7805414382662</v>
      </c>
      <c r="Y73" s="8" t="inlineStr">
        <is>
          <t>Pacific</t>
        </is>
      </c>
      <c r="Z73" s="8" t="inlineStr">
        <is>
          <t>Victoria (VIC)</t>
        </is>
      </c>
      <c r="AA73" s="11" t="n">
        <v>1117.83570788256</v>
      </c>
      <c r="AB73" s="8" t="inlineStr">
        <is>
          <t>Syrah Resources Ltd. is an industrial minerals and technology company. The firm operates through two segments: Balma and Corporate. The Balma segment includes mining, mineral exploration, evaluation and development activities associated with the Balama Graphite Project in Mozambique. The Corporate segment includes corporate administration and investing activities including development of the group's battery anode material strategy. Its projects includes Balma project, Sphercial Graphite Project, and Balama Vanadium Project. The company was founded on May 4, 2007 and is headquartered in Melbourne, Australia.</t>
        </is>
      </c>
      <c r="AC73" s="8" t="inlineStr">
        <is>
          <t>Nonmetallic Mineral Mining</t>
        </is>
      </c>
      <c r="AD73" s="8" t="inlineStr">
        <is>
          <t>Other Mining</t>
        </is>
      </c>
      <c r="AE73" s="8" t="inlineStr">
        <is>
          <t>Mining and Mineral Products</t>
        </is>
      </c>
      <c r="AF73" s="12" t="inlineStr">
        <is>
          <t>Other Nonmetallic Minerals Mining</t>
        </is>
      </c>
      <c r="AH73" t="n">
        <v>22024000</v>
      </c>
      <c r="AI73" t="n">
        <v>0.9</v>
      </c>
      <c r="AJ73" t="inlineStr">
        <is>
          <t>Q2 2024,"6,355",23,2.7,"40,000",,,,,10
Q3 2024,"1,264",0,N/A,,,,,,
,,,,0,,,,,0</t>
        </is>
      </c>
      <c r="AK73" t="n">
        <v>0</v>
      </c>
      <c r="AL73" t="n">
        <v>0.9</v>
      </c>
      <c r="AM73" t="inlineStr">
        <is>
          <t>Q2 2024,"6,355",23,2.7,"40,000",,,,,10
Q3 2024,"1,264",0,N/A,,,,,,
,,,,0,,,,,0</t>
        </is>
      </c>
      <c r="AN73" t="n">
        <v>1000</v>
      </c>
      <c r="AO73" t="n">
        <v>0.95</v>
      </c>
      <c r="AP73">
        <f>== Table 1 (page 19) ===
,Balama Graphite Operation,,,,,Greenhouse Gas Emissions - Scope 1 and Scope 2(3) Reporting,,,
,Scope 1 and 2 GHG Emissions,,,,,,,,</f>
        <v/>
      </c>
      <c r="AQ73" t="n">
        <v>0</v>
      </c>
      <c r="AR73" t="n">
        <v>-3.924229</v>
      </c>
      <c r="AS73" t="n">
        <v>0</v>
      </c>
    </row>
    <row r="74" ht="15" customHeight="1">
      <c r="A74" s="8" t="inlineStr">
        <is>
          <t>NHF-AU</t>
        </is>
      </c>
      <c r="B74" s="8" t="inlineStr">
        <is>
          <t>NIB Holdings Ltd.</t>
        </is>
      </c>
      <c r="C74" s="8" t="n"/>
      <c r="D74" s="8" t="n"/>
      <c r="E74" s="8" t="n"/>
      <c r="F74" s="8" t="n"/>
      <c r="G74" s="8" t="n"/>
      <c r="H74" s="8" t="n"/>
      <c r="I74" s="8" t="n"/>
      <c r="J74" s="8" t="n"/>
      <c r="K74" s="8" t="n"/>
      <c r="L74" s="8" t="n"/>
      <c r="M74" s="8" t="n"/>
      <c r="N74" s="17" t="n"/>
      <c r="O74" s="17" t="n"/>
      <c r="P74" s="17" t="n"/>
      <c r="Q74" s="17" t="n"/>
      <c r="R74" s="10">
        <f>IFERROR(_xlfn.XLOOKUP($A74,Profitability!$A$5:$A$342,Profitability!$Q$5:$Q$342),"na")</f>
        <v/>
      </c>
      <c r="S74" s="10">
        <f>IFERROR(_xlfn.XLOOKUP($A74,Profitability!$A$5:$A$342,Profitability!$R$5:$R$342),"na")</f>
        <v/>
      </c>
      <c r="T74" s="8" t="inlineStr">
        <is>
          <t>Public</t>
        </is>
      </c>
      <c r="U74" s="8" t="inlineStr">
        <is>
          <t>Australia</t>
        </is>
      </c>
      <c r="V74" s="9" t="n">
        <v>2007</v>
      </c>
      <c r="W74" s="10" t="inlineStr">
        <is>
          <t>-</t>
        </is>
      </c>
      <c r="X74" s="11" t="n">
        <v>3563.19999999999</v>
      </c>
      <c r="Y74" s="8" t="inlineStr">
        <is>
          <t>Pacific</t>
        </is>
      </c>
      <c r="Z74" s="8" t="inlineStr">
        <is>
          <t>New South Wales (NSW)</t>
        </is>
      </c>
      <c r="AA74" s="11" t="n">
        <v>2187.20005390687</v>
      </c>
      <c r="AB74" s="8" t="inlineStr">
        <is>
          <t>NIB Holdings Ltd. engages in the provision of health and medical insurance. It operates through the following segments: Australian Residents Health Insurance, International (Inbound) Health Insurance, New Zealand Insurance, nib Travel, and nib Thrive. The Australian Residents Health Insurance segment offers product within the Australian private health insurance industry. The International (Inbound) Health Insurance segment includes health insurance products for international students and workers. The New Zealand Insurance segment consists of product for the New Zealand private health insurance industry. The nib Travel segment pertains to distribution of travel insurance products. The nib Thrive segment is involved in offering as a plan manager under the National Disability Insurance Scheme. The company was founded in 1952 and is headquartered in Newcastle, Australia.</t>
        </is>
      </c>
      <c r="AC74" s="8" t="inlineStr">
        <is>
          <t>Life and Health Insurance</t>
        </is>
      </c>
      <c r="AD74" s="8" t="inlineStr">
        <is>
          <t>Insurance</t>
        </is>
      </c>
      <c r="AE74" s="8" t="inlineStr">
        <is>
          <t>Insurance</t>
        </is>
      </c>
      <c r="AF74" s="12" t="inlineStr">
        <is>
          <t>Supplemental Health Insurance</t>
        </is>
      </c>
      <c r="AH74" t="n">
        <v>27</v>
      </c>
      <c r="AI74" t="n">
        <v>1</v>
      </c>
      <c r="AJ74" t="inlineStr">
        <is>
          <t>Scope 1,27.1,25.3</t>
        </is>
      </c>
      <c r="AK74" t="n">
        <v>182</v>
      </c>
      <c r="AL74" t="n">
        <v>1</v>
      </c>
      <c r="AM74" t="inlineStr">
        <is>
          <t>Scope 22,182.3,202.3</t>
        </is>
      </c>
      <c r="AN74" t="n">
        <v>14661</v>
      </c>
      <c r="AO74" t="n">
        <v>1</v>
      </c>
      <c r="AP74" t="inlineStr">
        <is>
          <t>Scope 3,"14,660.8","11,783.9"</t>
        </is>
      </c>
      <c r="AQ74" t="n">
        <v>3</v>
      </c>
      <c r="AR74" t="n">
        <v>0.054866</v>
      </c>
      <c r="AS74" t="n">
        <v>0.000842</v>
      </c>
    </row>
    <row r="75" ht="15" customHeight="1">
      <c r="A75" s="8" t="inlineStr">
        <is>
          <t>GEM-AU</t>
        </is>
      </c>
      <c r="B75" s="8" t="inlineStr">
        <is>
          <t>G8 Education Ltd.</t>
        </is>
      </c>
      <c r="C75" s="8" t="n"/>
      <c r="D75" s="8" t="n"/>
      <c r="E75" s="8" t="n"/>
      <c r="F75" s="8" t="n"/>
      <c r="G75" s="8" t="n"/>
      <c r="H75" s="8" t="n"/>
      <c r="I75" s="8" t="n"/>
      <c r="J75" s="8" t="n"/>
      <c r="K75" s="8" t="n"/>
      <c r="L75" s="8" t="n"/>
      <c r="M75" s="8" t="n"/>
      <c r="N75" s="17" t="n"/>
      <c r="O75" s="17" t="n"/>
      <c r="P75" s="17" t="n"/>
      <c r="Q75" s="17" t="n"/>
      <c r="R75" s="10">
        <f>IFERROR(_xlfn.XLOOKUP($A75,Profitability!$A$5:$A$342,Profitability!$Q$5:$Q$342),"na")</f>
        <v/>
      </c>
      <c r="S75" s="10">
        <f>IFERROR(_xlfn.XLOOKUP($A75,Profitability!$A$5:$A$342,Profitability!$R$5:$R$342),"na")</f>
        <v/>
      </c>
      <c r="T75" s="8" t="inlineStr">
        <is>
          <t>Public</t>
        </is>
      </c>
      <c r="U75" s="8" t="inlineStr">
        <is>
          <t>Australia</t>
        </is>
      </c>
      <c r="V75" s="9" t="n">
        <v>2007</v>
      </c>
      <c r="W75" s="10" t="n">
        <v>7099</v>
      </c>
      <c r="X75" s="11" t="n">
        <v>1015.268</v>
      </c>
      <c r="Y75" s="8" t="inlineStr">
        <is>
          <t>Pacific</t>
        </is>
      </c>
      <c r="Z75" s="8" t="inlineStr">
        <is>
          <t>Queensland (QLD)</t>
        </is>
      </c>
      <c r="AA75" s="11" t="n">
        <v>2068.30393584481</v>
      </c>
      <c r="AB75" s="8" t="inlineStr">
        <is>
          <t>G8 Education Ltd. engages in the provision of quality early childhood education and care. The firm is also involved in managing child care centres. The company was founded in 2006 and is headquartered in Gold Coast, Australia.</t>
        </is>
      </c>
      <c r="AC75" s="8" t="inlineStr">
        <is>
          <t>Educational Services</t>
        </is>
      </c>
      <c r="AD75" s="8" t="inlineStr">
        <is>
          <t>Personal Professional Services</t>
        </is>
      </c>
      <c r="AE75" s="8" t="inlineStr">
        <is>
          <t>Household Services</t>
        </is>
      </c>
      <c r="AF75" s="12" t="inlineStr">
        <is>
          <t>Other Educational Services</t>
        </is>
      </c>
      <c r="AH75" t="n">
        <v>667</v>
      </c>
      <c r="AI75" t="n">
        <v>1</v>
      </c>
      <c r="AJ75" t="inlineStr">
        <is>
          <t>Scope 1,"667,590 kg","756,899 kg","306,960 kg","351,762 kg"</t>
        </is>
      </c>
      <c r="AK75" t="n">
        <v>9360</v>
      </c>
      <c r="AL75" t="n">
        <v>1</v>
      </c>
      <c r="AM75" t="inlineStr">
        <is>
          <t>Scope 2,"9,360,624 kg","10,132,459 kg","11,761,701 kg","12,026,123 kg"</t>
        </is>
      </c>
      <c r="AQ75" t="n">
        <v>0</v>
      </c>
      <c r="AR75" t="n">
        <v>0.06666999999999999</v>
      </c>
      <c r="AS75" t="n">
        <v>0</v>
      </c>
    </row>
    <row r="76" ht="15" customHeight="1">
      <c r="A76" s="8" t="inlineStr">
        <is>
          <t>CKF-AU</t>
        </is>
      </c>
      <c r="B76" s="8" t="inlineStr">
        <is>
          <t>Collins Foods Ltd.</t>
        </is>
      </c>
      <c r="C76" s="8" t="n"/>
      <c r="D76" s="8" t="inlineStr">
        <is>
          <t>Vishal</t>
        </is>
      </c>
      <c r="E76" s="8" t="inlineStr">
        <is>
          <t>Alexander Hill</t>
        </is>
      </c>
      <c r="F76" s="8" t="inlineStr">
        <is>
          <t>Request message sent</t>
        </is>
      </c>
      <c r="G76" s="8" t="n"/>
      <c r="H76" s="8" t="n"/>
      <c r="I76" s="8" t="n"/>
      <c r="J76" s="8" t="n"/>
      <c r="K76" s="8" t="n"/>
      <c r="L76" s="8" t="n"/>
      <c r="M76" s="8" t="n"/>
      <c r="N76" s="17" t="n"/>
      <c r="O76" s="17" t="n"/>
      <c r="P76" s="17" t="n"/>
      <c r="Q76" s="17" t="n"/>
      <c r="R76" s="10">
        <f>IFERROR(_xlfn.XLOOKUP($A76,Profitability!$A$5:$A$342,Profitability!$Q$5:$Q$342),"na")</f>
        <v/>
      </c>
      <c r="S76" s="10">
        <f>IFERROR(_xlfn.XLOOKUP($A76,Profitability!$A$5:$A$342,Profitability!$R$5:$R$342),"na")</f>
        <v/>
      </c>
      <c r="T76" s="8" t="inlineStr">
        <is>
          <t>Public</t>
        </is>
      </c>
      <c r="U76" s="8" t="inlineStr">
        <is>
          <t>Australia</t>
        </is>
      </c>
      <c r="V76" s="9" t="n">
        <v>2011</v>
      </c>
      <c r="W76" s="10" t="inlineStr">
        <is>
          <t>-</t>
        </is>
      </c>
      <c r="X76" s="11" t="n">
        <v>1519.20207759712</v>
      </c>
      <c r="Y76" s="8" t="inlineStr">
        <is>
          <t>Pacific</t>
        </is>
      </c>
      <c r="Z76" s="8" t="inlineStr">
        <is>
          <t>Queensland (QLD)</t>
        </is>
      </c>
      <c r="AA76" s="11" t="n">
        <v>1657.22247753631</v>
      </c>
      <c r="AB76" s="8" t="inlineStr">
        <is>
          <t>Collins Foods Ltd. engages in the operation of restaurants and food service retail outlets. It operates through the following business segments: KFC Restaurants Australia, KFC Restaurants Europe, Taco Bell Restaurants, and Other. The company was founded on June 10, 2011 and is headquartered in Hamilton, Australia.</t>
        </is>
      </c>
      <c r="AC76" s="8" t="inlineStr">
        <is>
          <t>Restaurants and Bars</t>
        </is>
      </c>
      <c r="AD76" s="8" t="inlineStr">
        <is>
          <t>Hospitality Services</t>
        </is>
      </c>
      <c r="AE76" s="8" t="inlineStr">
        <is>
          <t>Hospitality Services</t>
        </is>
      </c>
      <c r="AF76" s="12" t="inlineStr">
        <is>
          <t>Limited-Service and Fast Food Restaurants</t>
        </is>
      </c>
      <c r="AH76" t="n">
        <v>5849</v>
      </c>
      <c r="AI76" t="n">
        <v>1</v>
      </c>
      <c r="AJ76" t="inlineStr">
        <is>
          <t>(tonnes CO2-e),"62,153 6","7,977 6","70,130 6","62,508","6,813","69,321"
Total Scope 1 and 2 emissions (tonnes CO2-e),"66,578 6","9,538 6","76,116 6","66,770","8,400","75,170"
"Average emissions per ORE1,7 (tonnes CO2-e)2",221 6,131 6,203 6,215,111,195</t>
        </is>
      </c>
      <c r="AK76" t="n">
        <v>69321</v>
      </c>
      <c r="AL76" t="n">
        <v>1</v>
      </c>
      <c r="AM76" t="inlineStr">
        <is>
          <t>FY24 methodology total Scope 2 emissions,,,,,,
(tonnes CO2-e),"60,731","9,356","70,088",n/a,n/a,n/a
Total location-based Scope 2 emissions,,,,,,</t>
        </is>
      </c>
      <c r="AN76" t="n">
        <v>0</v>
      </c>
      <c r="AQ76" t="n">
        <v>2</v>
      </c>
      <c r="AR76" t="n">
        <v>0.005814</v>
      </c>
      <c r="AS76" t="n">
        <v>0.001316</v>
      </c>
    </row>
    <row r="77" ht="15" customHeight="1">
      <c r="A77" s="8" t="inlineStr">
        <is>
          <t>WBC-AU</t>
        </is>
      </c>
      <c r="B77" s="8" t="inlineStr">
        <is>
          <t>Westpac Banking Corp.</t>
        </is>
      </c>
      <c r="C77" s="8" t="n"/>
      <c r="D77" s="8" t="n"/>
      <c r="E77" s="8" t="n"/>
      <c r="F77" s="8" t="n"/>
      <c r="G77" s="8" t="n"/>
      <c r="H77" s="8" t="n"/>
      <c r="I77" s="8" t="n"/>
      <c r="J77" s="8" t="n"/>
      <c r="K77" s="8" t="n"/>
      <c r="L77" s="8" t="n"/>
      <c r="M77" s="8" t="n"/>
      <c r="N77" s="17" t="n"/>
      <c r="O77" s="17" t="n"/>
      <c r="P77" s="10" t="n">
        <v>4817</v>
      </c>
      <c r="Q77" s="10" t="n">
        <v>47775</v>
      </c>
      <c r="R77" s="10">
        <f>IFERROR(_xlfn.XLOOKUP($A77,Profitability!$A$5:$A$342,Profitability!$Q$5:$Q$342),"na")</f>
        <v/>
      </c>
      <c r="S77" s="10">
        <f>IFERROR(_xlfn.XLOOKUP($A77,Profitability!$A$5:$A$342,Profitability!$R$5:$R$342),"na")</f>
        <v/>
      </c>
      <c r="T77" s="8" t="inlineStr">
        <is>
          <t>Public</t>
        </is>
      </c>
      <c r="U77" s="8" t="inlineStr">
        <is>
          <t>Australia</t>
        </is>
      </c>
      <c r="V77" s="9" t="n">
        <v>2002</v>
      </c>
      <c r="W77" s="10" t="n">
        <v>35240</v>
      </c>
      <c r="X77" s="11" t="n">
        <v>57514</v>
      </c>
      <c r="Y77" s="8" t="inlineStr">
        <is>
          <t>Pacific</t>
        </is>
      </c>
      <c r="Z77" s="8" t="inlineStr">
        <is>
          <t>New South Wales (NSW)</t>
        </is>
      </c>
      <c r="AA77" s="11" t="n">
        <v>1078697.01848491</v>
      </c>
      <c r="AB77" s="8" t="inlineStr">
        <is>
          <t>Westpac Banking Corp. engages in the provision of banking and financial services. It operates through the following segments: Consumer, Business, Westpac Institutional Bank, Westpac New Zealand, Specialist Businesses and Group Businesses. The Consumer segment provides banking products, including mortgages, credit cards, personal loans, and savings and deposit products. The Business segment serves the banking needs of SME and commercial customers, including agribusiness and provides banking and advisory services to high net worth individuals through private wealth. The Westpac Institutional Bank segment provides a broad range of financial products and services to corporate, institutional and government customers. The Westpac New Zealand segment provides banking, wealth and insurance products and services for consumer, business and institutional customers in New Zealand. The Specialist Businesses segment comprises the operations that Westpac ultimately plans to exit with agreements in place for the sale of Westpac Life Insurance and motor vehicle dealer finance and notated leasing businesses. The Group Businesses segment includes the results of unallocated support functions such as treasury, chief operating office and core support. It also includes group-wide elimination entries arising on consolidation, centrally raised provisions and other unallocated revenue and expenses. The company was founded in 1817 and is headquartered in Sydney, Australia.</t>
        </is>
      </c>
      <c r="AC77" s="8" t="inlineStr">
        <is>
          <t>Asia/Pacific Banks</t>
        </is>
      </c>
      <c r="AD77" s="8" t="inlineStr">
        <is>
          <t>International Banks</t>
        </is>
      </c>
      <c r="AE77" s="8" t="inlineStr">
        <is>
          <t>Banking</t>
        </is>
      </c>
      <c r="AF77" s="12" t="inlineStr">
        <is>
          <t>Australia and New Zealand Banks</t>
        </is>
      </c>
      <c r="AH77" t="n">
        <v>4714</v>
      </c>
      <c r="AJ77" t="inlineStr">
        <is>
          <t>2025 Scope 1 emissions (tCO2-e).</t>
        </is>
      </c>
      <c r="AK77" t="n">
        <v>1963</v>
      </c>
      <c r="AM77" t="inlineStr">
        <is>
          <t>2025 Scope 2 emissions (tCO2-e) (market-based).</t>
        </is>
      </c>
      <c r="AN77" t="n">
        <v>56469</v>
      </c>
      <c r="AP77" t="inlineStr">
        <is>
          <t>2025 Scope 3 upstream emissions only (tCO2-e). Financed emissions (Category 15) are calculated one year in arrears and are not included in this figure.</t>
        </is>
      </c>
      <c r="AR77" t="n">
        <v>0.120145</v>
      </c>
    </row>
    <row r="78" ht="15" customHeight="1">
      <c r="A78" s="8" t="inlineStr">
        <is>
          <t>CBA-AU</t>
        </is>
      </c>
      <c r="B78" s="8" t="inlineStr">
        <is>
          <t>Commonwealth Bank of Australia</t>
        </is>
      </c>
      <c r="C78" s="8" t="n"/>
      <c r="D78" s="8" t="n"/>
      <c r="E78" s="8" t="n"/>
      <c r="F78" s="8" t="n"/>
      <c r="G78" s="8" t="n"/>
      <c r="H78" s="8" t="n"/>
      <c r="I78" s="8" t="n"/>
      <c r="J78" s="8" t="n"/>
      <c r="K78" s="8" t="n"/>
      <c r="L78" s="8" t="n"/>
      <c r="M78" s="8" t="n"/>
      <c r="N78" s="17" t="n"/>
      <c r="O78" s="17" t="n"/>
      <c r="P78" s="10" t="n">
        <v>4952</v>
      </c>
      <c r="Q78" s="10" t="n">
        <v>58505</v>
      </c>
      <c r="R78" s="10">
        <f>IFERROR(_xlfn.XLOOKUP($A78,Profitability!$A$5:$A$342,Profitability!$Q$5:$Q$342),"na")</f>
        <v/>
      </c>
      <c r="S78" s="10">
        <f>IFERROR(_xlfn.XLOOKUP($A78,Profitability!$A$5:$A$342,Profitability!$R$5:$R$342),"na")</f>
        <v/>
      </c>
      <c r="T78" s="8" t="inlineStr">
        <is>
          <t>Public</t>
        </is>
      </c>
      <c r="U78" s="8" t="inlineStr">
        <is>
          <t>Australia</t>
        </is>
      </c>
      <c r="V78" s="9" t="n">
        <v>1991</v>
      </c>
      <c r="W78" s="10" t="n">
        <v>51346</v>
      </c>
      <c r="X78" s="11" t="n">
        <v>69856.9999999999</v>
      </c>
      <c r="Y78" s="8" t="inlineStr">
        <is>
          <t>Pacific</t>
        </is>
      </c>
      <c r="Z78" s="8" t="inlineStr">
        <is>
          <t>New South Wales (NSW)</t>
        </is>
      </c>
      <c r="AA78" s="11" t="n">
        <v>1353799.03336643</v>
      </c>
      <c r="AB78" s="8" t="inlineStr">
        <is>
          <t>Commonwealth Bank of Australia engages in the provision of banking and financial services. It operates through the following segments: Retail Banking Services, Business Banking, Institutional Banking and Markets, New Zealand, Corporate Centre and Other, and Wealth Management. The Retail Banking Services segment provides home loan, consumer finance, and retail deposit products and servicing to all retail bank customers and non-relationship managed small business customers. The Business Banking segment offers specialized banking services to relationship managed business and Agribusiness customers, private banking to high-net-worth individuals, and margin lending and trading through CommSec. The Institutional Banking and Markets segment serves the firm's major corporate, institutional, and government clients using a relationship management model based on industry expertise and insights. The New Zealand segment comprises of banking, funds management, and insurance businesses operating in New Zealand. The Corporate Centre and Other segments include support functions such as investor relations, group marketing and strategy, group governance, and group treasury. The Wealth Management segment includes the global asset management, platform administration, and financial advice and life and general insurance businesses of the Australian operations. The company was founded in 1911 and is headquartered in Sydney, Australia.</t>
        </is>
      </c>
      <c r="AC78" s="8" t="inlineStr">
        <is>
          <t>Asia/Pacific Banks</t>
        </is>
      </c>
      <c r="AD78" s="8" t="inlineStr">
        <is>
          <t>International Banks</t>
        </is>
      </c>
      <c r="AE78" s="8" t="inlineStr">
        <is>
          <t>Banking</t>
        </is>
      </c>
      <c r="AF78" s="12" t="inlineStr">
        <is>
          <t>Australia and New Zealand Banks</t>
        </is>
      </c>
      <c r="AH78" t="n">
        <v>29640</v>
      </c>
      <c r="AJ78" t="inlineStr">
        <is>
          <t>Reported as combined Scope 1 and 2 operational emissions (tCO2-e).</t>
        </is>
      </c>
      <c r="AK78" t="n">
        <v>29640</v>
      </c>
      <c r="AM78" t="inlineStr">
        <is>
          <t>Reported as combined Scope 1 and 2 operational emissions (tCO2-e).</t>
        </is>
      </c>
      <c r="AN78" t="n">
        <v>34288</v>
      </c>
      <c r="AP78" t="inlineStr">
        <is>
          <t>FY24 Scope 3 operational emissions (tCO2-e).</t>
        </is>
      </c>
      <c r="AR78" t="n">
        <v>0.145053</v>
      </c>
    </row>
    <row r="79" ht="15" customHeight="1">
      <c r="A79" s="8" t="inlineStr">
        <is>
          <t>AMP-AU</t>
        </is>
      </c>
      <c r="B79" s="8" t="inlineStr">
        <is>
          <t>AMP Ltd.</t>
        </is>
      </c>
      <c r="C79" s="8" t="n"/>
      <c r="D79" s="8" t="n"/>
      <c r="E79" s="8" t="n"/>
      <c r="F79" s="8" t="n"/>
      <c r="G79" s="8" t="n"/>
      <c r="H79" s="8" t="n"/>
      <c r="I79" s="8" t="n"/>
      <c r="J79" s="8" t="n"/>
      <c r="K79" s="8" t="n"/>
      <c r="L79" s="8" t="n"/>
      <c r="M79" s="8" t="n"/>
      <c r="N79" s="17" t="n"/>
      <c r="O79" s="17" t="n"/>
      <c r="P79" s="17" t="n"/>
      <c r="Q79" s="17" t="n"/>
      <c r="R79" s="10">
        <f>IFERROR(_xlfn.XLOOKUP($A79,Profitability!$A$5:$A$342,Profitability!$Q$5:$Q$342),"na")</f>
        <v/>
      </c>
      <c r="S79" s="10">
        <f>IFERROR(_xlfn.XLOOKUP($A79,Profitability!$A$5:$A$342,Profitability!$R$5:$R$342),"na")</f>
        <v/>
      </c>
      <c r="T79" s="8" t="inlineStr">
        <is>
          <t>Public</t>
        </is>
      </c>
      <c r="U79" s="8" t="inlineStr">
        <is>
          <t>Australia</t>
        </is>
      </c>
      <c r="V79" s="9" t="n">
        <v>1997</v>
      </c>
      <c r="W79" s="10" t="inlineStr">
        <is>
          <t>-</t>
        </is>
      </c>
      <c r="X79" s="11" t="n">
        <v>2679</v>
      </c>
      <c r="Y79" s="8" t="inlineStr">
        <is>
          <t>Pacific</t>
        </is>
      </c>
      <c r="Z79" s="8" t="inlineStr">
        <is>
          <t>New South Wales (NSW)</t>
        </is>
      </c>
      <c r="AA79" s="11" t="n">
        <v>33160.9989714035</v>
      </c>
      <c r="AB79" s="8" t="inlineStr">
        <is>
          <t>AMP Ltd. engages in offering services in financial advice and superannuation, retirement income, banking, and investment products. It operates through the following segments: AMP Bank, Platforms, Superannuation &amp; Investments, New Zealand Wealth Management, and Group. The AMP Bank segment offers residential mortgages, deposits, and transactional banking services. The Platforms segment provides superannuation, retirement, and investment solutions. The Superannuation &amp; Investments segment market competitive super and pension solution across individual and corporate super through SignatureSuper. The New Zealand Wealth Management segment focuses on the wealth management solutions. The Group segment includes partnerships, costs not recovered from business units, investments income, and interest expense on corporate dept. The company was founded in 1849 and is headquartered in Sydney, Australia.</t>
        </is>
      </c>
      <c r="AC79" s="8" t="inlineStr">
        <is>
          <t>Asset Management and Financial Advisory Services</t>
        </is>
      </c>
      <c r="AD79" s="8" t="inlineStr">
        <is>
          <t>Investment Services</t>
        </is>
      </c>
      <c r="AE79" s="8" t="inlineStr">
        <is>
          <t>Investment Services</t>
        </is>
      </c>
      <c r="AF79" s="12" t="inlineStr">
        <is>
          <t>Diverse Asset Management and Financial Advisors</t>
        </is>
      </c>
      <c r="AH79" t="n">
        <v>531</v>
      </c>
      <c r="AI79" t="n">
        <v>1</v>
      </c>
      <c r="AJ79" t="inlineStr">
        <is>
          <t>,,Gas Reporting Criteria’ inclusive of reporting boundaries
"Auckland City Mission, Kindness Collective, RSA,",•  Scope 1 greenhouse gases (‘GHG’) emissions of 26,
,,"for operational impact emissions, environmental"</t>
        </is>
      </c>
      <c r="AK79" t="n">
        <v>636</v>
      </c>
      <c r="AL79" t="n">
        <v>1</v>
      </c>
      <c r="AM79" t="inlineStr">
        <is>
          <t>•  Scope 2 GHG emissions of 636 tCO2-e;</t>
        </is>
      </c>
      <c r="AN79" t="n">
        <v>3758</v>
      </c>
      <c r="AO79" t="n">
        <v>1</v>
      </c>
      <c r="AP79" t="inlineStr">
        <is>
          <t>•  Selected scope 3 GHG emissions of 3,758 tCO2-e;</t>
        </is>
      </c>
      <c r="AQ79" t="n">
        <v>10</v>
      </c>
      <c r="AR79" t="n">
        <v>0.067189</v>
      </c>
      <c r="AS79" t="n">
        <v>0.003733</v>
      </c>
    </row>
    <row r="80" ht="15" customHeight="1">
      <c r="A80" s="8" t="inlineStr">
        <is>
          <t>DOW-AU</t>
        </is>
      </c>
      <c r="B80" s="8" t="inlineStr">
        <is>
          <t>Downer EDI Ltd.</t>
        </is>
      </c>
      <c r="C80" s="8" t="n"/>
      <c r="D80" s="8" t="n"/>
      <c r="E80" s="8" t="n"/>
      <c r="F80" s="8" t="n"/>
      <c r="G80" s="8" t="n"/>
      <c r="H80" s="8" t="n"/>
      <c r="I80" s="8" t="n"/>
      <c r="J80" s="8" t="n"/>
      <c r="K80" s="8" t="n"/>
      <c r="L80" s="8" t="n"/>
      <c r="M80" s="8" t="n"/>
      <c r="N80" s="17" t="n"/>
      <c r="O80" s="17" t="n"/>
      <c r="P80" s="10" t="n">
        <v>184125</v>
      </c>
      <c r="Q80" s="10" t="n">
        <v>33816</v>
      </c>
      <c r="R80" s="10">
        <f>IFERROR(_xlfn.XLOOKUP($A80,Profitability!$A$5:$A$342,Profitability!$Q$5:$Q$342),"na")</f>
        <v/>
      </c>
      <c r="S80" s="10">
        <f>IFERROR(_xlfn.XLOOKUP($A80,Profitability!$A$5:$A$342,Profitability!$R$5:$R$342),"na")</f>
        <v/>
      </c>
      <c r="T80" s="8" t="inlineStr">
        <is>
          <t>Public</t>
        </is>
      </c>
      <c r="U80" s="8" t="inlineStr">
        <is>
          <t>Australia</t>
        </is>
      </c>
      <c r="V80" s="9" t="n">
        <v>1933</v>
      </c>
      <c r="W80" s="10" t="n">
        <v>26000</v>
      </c>
      <c r="X80" s="11" t="n">
        <v>10472.1</v>
      </c>
      <c r="Y80" s="8" t="inlineStr">
        <is>
          <t>Pacific</t>
        </is>
      </c>
      <c r="Z80" s="8" t="inlineStr">
        <is>
          <t>New South Wales (NSW)</t>
        </is>
      </c>
      <c r="AA80" s="11" t="n">
        <v>6773.90016695305</v>
      </c>
      <c r="AB80" s="8" t="inlineStr">
        <is>
          <t>Downer EDI Ltd. engages in the provision of integrated services. It operates through following business segments: Transport; Utilities; Facilities; Engineering, Construction, and Maintenance (EC&amp;M); and Mining.. The Transport segment comprises the Group's road, rail infrastructure, bridge, airport and port businesses and provides a broad range of transport infrastructure services. The Utilities segment consists of the power, gas, water, renewable, energy and telecommunications businesses. The Facilities segment provides outsourced facility services to customers across a diverse range of industry sectors including: defense, education, government, healthcare, resources, leisure, and hospitality. The EC&amp;M segment manages the design, engineering, construction, and maintenance services for greenfield and brownfield projects across a range of sectors and all stages of the project lifecycle. The Mining handles services across all stages of the mining lifecycle including: asset management; blasting services, explosive supply; civil projects; crushing; exploration drilling; mine closure and mine site rehabilitation; mobile plant maintenance; open cut mining; training and development for ATSI employees; tyre management; and underground mining. The company was founded in 1933 and is headquartered in North Ryde, Australia.</t>
        </is>
      </c>
      <c r="AC80" s="8" t="inlineStr">
        <is>
          <t>Infrastructure Construction/Contracting Services</t>
        </is>
      </c>
      <c r="AD80" s="8" t="inlineStr">
        <is>
          <t>Facilities and Construction Services</t>
        </is>
      </c>
      <c r="AE80" s="8" t="inlineStr">
        <is>
          <t>Industrial Services</t>
        </is>
      </c>
      <c r="AF80" s="12" t="inlineStr">
        <is>
          <t>Infrastructure Construction</t>
        </is>
      </c>
      <c r="AH80" t="n">
        <v>302151</v>
      </c>
      <c r="AJ80" t="inlineStr">
        <is>
          <t>Operational emissions—total Scope 1 and 2 (market based). Combined Scope 1 and 2 total. Operational emissions—total Scope 1 and 2 (market based). Citation(s): [39, 40]</t>
        </is>
      </c>
      <c r="AR80" t="n">
        <v>0.013054</v>
      </c>
    </row>
    <row r="81" ht="15" customHeight="1">
      <c r="A81" s="8" t="inlineStr">
        <is>
          <t>SUN-AU</t>
        </is>
      </c>
      <c r="B81" s="8" t="inlineStr">
        <is>
          <t>Suncorp Group Ltd.</t>
        </is>
      </c>
      <c r="C81" s="8" t="n"/>
      <c r="D81" s="8" t="n"/>
      <c r="E81" s="8" t="n"/>
      <c r="F81" s="8" t="n"/>
      <c r="G81" s="8" t="n"/>
      <c r="H81" s="8" t="n"/>
      <c r="I81" s="8" t="n"/>
      <c r="J81" s="8" t="n"/>
      <c r="K81" s="8" t="n"/>
      <c r="L81" s="8" t="n"/>
      <c r="M81" s="8" t="n"/>
      <c r="N81" s="17" t="n"/>
      <c r="O81" s="17" t="n"/>
      <c r="P81" s="17" t="n"/>
      <c r="Q81" s="17" t="n"/>
      <c r="R81" s="10">
        <f>IFERROR(_xlfn.XLOOKUP($A81,Profitability!$A$5:$A$342,Profitability!$Q$5:$Q$342),"na")</f>
        <v/>
      </c>
      <c r="S81" s="10">
        <f>IFERROR(_xlfn.XLOOKUP($A81,Profitability!$A$5:$A$342,Profitability!$R$5:$R$342),"na")</f>
        <v/>
      </c>
      <c r="T81" s="8" t="inlineStr">
        <is>
          <t>Public</t>
        </is>
      </c>
      <c r="U81" s="8" t="inlineStr">
        <is>
          <t>Australia</t>
        </is>
      </c>
      <c r="V81" s="9" t="n">
        <v>2010</v>
      </c>
      <c r="W81" s="10" t="n">
        <v>11500</v>
      </c>
      <c r="X81" s="11" t="n">
        <v>16848</v>
      </c>
      <c r="Y81" s="8" t="inlineStr">
        <is>
          <t>Pacific</t>
        </is>
      </c>
      <c r="Z81" s="8" t="inlineStr">
        <is>
          <t>Queensland (QLD)</t>
        </is>
      </c>
      <c r="AA81" s="11" t="n">
        <v>30364.0007483669</v>
      </c>
      <c r="AB81" s="8" t="inlineStr">
        <is>
          <t>Suncorp Group Ltd. is a financial services company, which engages in the provision of banking, wealth, and insurance products and services. It operates through the following segments: Consumer Insurance, Commercial and Personal Injury, Suncorp New Zealand, and Corporate and Internal Reinsurance. The Consumer Insurance segment provides insurance products to customers in Australia including home and contents, motor, and boat. The Commercial and Personal Injury segment offers insurance products to customers in Australia including commercial motor, commercial property, marine, industrial special risks, public liability and professional indemnity, workers’ compensation and compulsory third party. The Suncorp New Zealand segment includes general and life insurance products to customers in New Zealand. The Corporate and Internal Reinsurance segment is involved in the business strategy activities and shared services. The company was founded in 1902 and is headquartered in Brisbane, Australia.</t>
        </is>
      </c>
      <c r="AC81" s="8" t="inlineStr">
        <is>
          <t>Property and Casualty Insurance</t>
        </is>
      </c>
      <c r="AD81" s="8" t="inlineStr">
        <is>
          <t>Insurance</t>
        </is>
      </c>
      <c r="AE81" s="8" t="inlineStr">
        <is>
          <t>Insurance</t>
        </is>
      </c>
      <c r="AF81" s="12" t="inlineStr">
        <is>
          <t>Personal Insurance</t>
        </is>
      </c>
      <c r="AH81" t="n">
        <v>1245</v>
      </c>
      <c r="AI81" t="n">
        <v>0.9</v>
      </c>
      <c r="AJ81" t="inlineStr">
        <is>
          <t>Scope 1,"1,731","1,419","1,324","1,245"</t>
        </is>
      </c>
      <c r="AK81" t="n">
        <v>718</v>
      </c>
      <c r="AL81" t="n">
        <v>0.9</v>
      </c>
      <c r="AM81" t="inlineStr">
        <is>
          <t>Scope 2 (location-based),"14,751","9,802","8,333","6,074"</t>
        </is>
      </c>
      <c r="AN81" t="n">
        <v>17964</v>
      </c>
      <c r="AO81" t="n">
        <v>0.9</v>
      </c>
      <c r="AP81" t="inlineStr">
        <is>
          <t>Upstream Scope 3 emissions3, 7",Metric,Total upstream Scope 3 emissions,tCO2-e,"15,980","19,551","17,9641"</t>
        </is>
      </c>
      <c r="AQ81" t="n">
        <v>2</v>
      </c>
      <c r="AR81" t="n">
        <v>0.09259299999999999</v>
      </c>
      <c r="AS81" t="n">
        <v>0.000119</v>
      </c>
    </row>
    <row r="82" ht="15" customHeight="1">
      <c r="A82" s="8" t="inlineStr">
        <is>
          <t>IAG-AU</t>
        </is>
      </c>
      <c r="B82" s="8" t="inlineStr">
        <is>
          <t>Insurance Australia Group Ltd.</t>
        </is>
      </c>
      <c r="C82" s="8" t="n"/>
      <c r="D82" s="8" t="n"/>
      <c r="E82" s="8" t="n"/>
      <c r="F82" s="8" t="n"/>
      <c r="G82" s="8" t="n"/>
      <c r="H82" s="8" t="n"/>
      <c r="I82" s="8" t="n"/>
      <c r="J82" s="8" t="n"/>
      <c r="K82" s="8" t="n"/>
      <c r="L82" s="8" t="n"/>
      <c r="M82" s="8" t="n"/>
      <c r="N82" s="17" t="n"/>
      <c r="O82" s="17" t="n"/>
      <c r="P82" s="17" t="n"/>
      <c r="Q82" s="17" t="n"/>
      <c r="R82" s="10">
        <f>IFERROR(_xlfn.XLOOKUP($A82,Profitability!$A$5:$A$342,Profitability!$Q$5:$Q$342),"na")</f>
        <v/>
      </c>
      <c r="S82" s="10">
        <f>IFERROR(_xlfn.XLOOKUP($A82,Profitability!$A$5:$A$342,Profitability!$R$5:$R$342),"na")</f>
        <v/>
      </c>
      <c r="T82" s="8" t="inlineStr">
        <is>
          <t>Public</t>
        </is>
      </c>
      <c r="U82" s="8" t="inlineStr">
        <is>
          <t>Australia</t>
        </is>
      </c>
      <c r="V82" s="9" t="n">
        <v>1999</v>
      </c>
      <c r="W82" s="10" t="inlineStr">
        <is>
          <t>-</t>
        </is>
      </c>
      <c r="X82" s="11" t="n">
        <v>17708</v>
      </c>
      <c r="Y82" s="8" t="inlineStr">
        <is>
          <t>Pacific</t>
        </is>
      </c>
      <c r="Z82" s="8" t="inlineStr">
        <is>
          <t>New South Wales (NSW)</t>
        </is>
      </c>
      <c r="AA82" s="11" t="n">
        <v>26309.0006484252</v>
      </c>
      <c r="AB82" s="8" t="inlineStr">
        <is>
          <t>Insurance Australia Group Ltd. engages in underwriting of general insurance and related corporate services. It operates through the following business divisions: Retail Insurance Australia, Intermediated Insurance Australia, New Zealand, and Corporate and Other. The Retail Insurance Australia division provides personal lines, some commercial lines, and general insurance products sold to customers under the NRMA, SGIO, SGIC, the RACV in Victoria, as well as the CGU and Poncho brands. The Intermediated Insurance Australia division offers commercial lines, personal lines, and general insurance products sold to customers through intermediaries including brokers, authorized representatives, and distribution partners under the CGU and WFI brands. The New Zealand division deals with general insurance products underwritten in New Zealand. The Corporate and Other division represents other activities, including corporate services, capital management activity, shareholders’ funds investment activities, inward reinsurance from associates, investment in associates, and other businesses that offer products and services that are adjacent to IAG's insurance business. The company was founded in 1925 and is headquartered Sydney, Australia.</t>
        </is>
      </c>
      <c r="AC82" s="8" t="inlineStr">
        <is>
          <t>Property and Casualty Insurance</t>
        </is>
      </c>
      <c r="AD82" s="8" t="inlineStr">
        <is>
          <t>Insurance</t>
        </is>
      </c>
      <c r="AE82" s="8" t="inlineStr">
        <is>
          <t>Insurance</t>
        </is>
      </c>
      <c r="AF82" s="12" t="inlineStr">
        <is>
          <t>Personal Insurance</t>
        </is>
      </c>
      <c r="AH82" t="n">
        <v>6770</v>
      </c>
      <c r="AJ82" t="inlineStr">
        <is>
          <t>2025 Scope 1 GHG Emissions (tCO2e).</t>
        </is>
      </c>
      <c r="AK82" t="n">
        <v>5429</v>
      </c>
      <c r="AM82" t="inlineStr">
        <is>
          <t>2025 Scope 2 – Market based emissions (tCO2e). Market-based emissions are used in calculating Net GHG emissions.</t>
        </is>
      </c>
      <c r="AN82" t="n">
        <v>19383</v>
      </c>
      <c r="AP82" t="inlineStr">
        <is>
          <t>2025 Total Scope 3 emissions (tCO2e).</t>
        </is>
      </c>
      <c r="AR82" t="n">
        <v>0.07674499999999999</v>
      </c>
    </row>
    <row r="83" ht="15" customHeight="1">
      <c r="A83" s="8" t="inlineStr">
        <is>
          <t>QBE-AU</t>
        </is>
      </c>
      <c r="B83" s="8" t="inlineStr">
        <is>
          <t>QBE Insurance Group Ltd.</t>
        </is>
      </c>
      <c r="C83" s="8" t="n"/>
      <c r="D83" s="8" t="n"/>
      <c r="E83" s="8" t="n"/>
      <c r="F83" s="8" t="n"/>
      <c r="G83" s="8" t="n"/>
      <c r="H83" s="8" t="n"/>
      <c r="I83" s="8" t="n"/>
      <c r="J83" s="8" t="n"/>
      <c r="K83" s="8" t="n"/>
      <c r="L83" s="8" t="n"/>
      <c r="M83" s="8" t="n"/>
      <c r="N83" s="17" t="n"/>
      <c r="O83" s="17" t="n"/>
      <c r="P83" s="17" t="n"/>
      <c r="Q83" s="17" t="n"/>
      <c r="R83" s="10">
        <f>IFERROR(_xlfn.XLOOKUP($A83,Profitability!$A$5:$A$342,Profitability!$Q$5:$Q$342),"na")</f>
        <v/>
      </c>
      <c r="S83" s="10">
        <f>IFERROR(_xlfn.XLOOKUP($A83,Profitability!$A$5:$A$342,Profitability!$R$5:$R$342),"na")</f>
        <v/>
      </c>
      <c r="T83" s="8" t="inlineStr">
        <is>
          <t>Public</t>
        </is>
      </c>
      <c r="U83" s="8" t="inlineStr">
        <is>
          <t>Australia</t>
        </is>
      </c>
      <c r="V83" s="9" t="n">
        <v>1886</v>
      </c>
      <c r="W83" s="10" t="n">
        <v>13479</v>
      </c>
      <c r="X83" s="11" t="n">
        <v>34596.7748325051</v>
      </c>
      <c r="Y83" s="8" t="inlineStr">
        <is>
          <t>Pacific</t>
        </is>
      </c>
      <c r="Z83" s="8" t="inlineStr">
        <is>
          <t>New South Wales (NSW)</t>
        </is>
      </c>
      <c r="AA83" s="11" t="n">
        <v>72237.74305564399</v>
      </c>
      <c r="AB83" s="8" t="inlineStr">
        <is>
          <t>QBE Insurance Group Ltd. engages in providing underwriting general insurance and reinsurance risks. It operates through the following geographical segments: North America, International, Australia Pacific, and Corporate and Other. The North America segment writes general insurance, re7insurance, and crop business in the United States. The International segment offers general insurance business in the United Kingdom, Europ, and Canada. The Australia Pacific segment underwrites general insurance risks throughout Australia, New Zealand, and the Pacific region. The Corporate and Other segment is involved in non-operating holding companies that do not form part pf the group’s insurance operations. The company was founded in October 1888 is headquartered in Sydney, Australia.</t>
        </is>
      </c>
      <c r="AC83" s="8" t="inlineStr">
        <is>
          <t>Property and Casualty Insurance</t>
        </is>
      </c>
      <c r="AD83" s="8" t="inlineStr">
        <is>
          <t>Insurance</t>
        </is>
      </c>
      <c r="AE83" s="8" t="inlineStr">
        <is>
          <t>Insurance</t>
        </is>
      </c>
      <c r="AF83" s="12" t="inlineStr">
        <is>
          <t>Commercial Insurance</t>
        </is>
      </c>
      <c r="AR83" t="n">
        <v>0.077958</v>
      </c>
    </row>
    <row r="84" ht="15" customHeight="1">
      <c r="A84" s="8" t="inlineStr">
        <is>
          <t>SGP-AU</t>
        </is>
      </c>
      <c r="B84" s="8" t="inlineStr">
        <is>
          <t>Stockland</t>
        </is>
      </c>
      <c r="C84" s="8" t="n"/>
      <c r="D84" s="8" t="n"/>
      <c r="E84" s="8" t="n"/>
      <c r="F84" s="8" t="n"/>
      <c r="G84" s="8" t="n"/>
      <c r="H84" s="8" t="n"/>
      <c r="I84" s="8" t="n"/>
      <c r="J84" s="8" t="n"/>
      <c r="K84" s="8" t="n"/>
      <c r="L84" s="8" t="n"/>
      <c r="M84" s="8" t="n"/>
      <c r="N84" s="17" t="n"/>
      <c r="O84" s="17" t="n"/>
      <c r="P84" s="17" t="n"/>
      <c r="Q84" s="17" t="n"/>
      <c r="R84" s="10">
        <f>IFERROR(_xlfn.XLOOKUP($A84,Profitability!$A$5:$A$342,Profitability!$Q$5:$Q$342),"na")</f>
        <v/>
      </c>
      <c r="S84" s="10">
        <f>IFERROR(_xlfn.XLOOKUP($A84,Profitability!$A$5:$A$342,Profitability!$R$5:$R$342),"na")</f>
        <v/>
      </c>
      <c r="T84" s="8" t="inlineStr">
        <is>
          <t>Public</t>
        </is>
      </c>
      <c r="U84" s="8" t="inlineStr">
        <is>
          <t>Australia</t>
        </is>
      </c>
      <c r="V84" s="9" t="n">
        <v>1952</v>
      </c>
      <c r="W84" s="10" t="n">
        <v>1674</v>
      </c>
      <c r="X84" s="11" t="n">
        <v>3131</v>
      </c>
      <c r="Y84" s="8" t="inlineStr">
        <is>
          <t>Pacific</t>
        </is>
      </c>
      <c r="Z84" s="8" t="inlineStr">
        <is>
          <t>New South Wales (NSW)</t>
        </is>
      </c>
      <c r="AA84" s="11" t="n">
        <v>17743.0004373032</v>
      </c>
      <c r="AB84" s="8" t="inlineStr">
        <is>
          <t>Stockland engages in the business of real estate. It operates through the following segments: Development, Investment Management, and Other. The Development segment develops assets including residential properties, commercial properties and mixed-use assets. The Investment Management segment invests in and manages commercial properties and residential investment properties, manages capital investments, and earns management income for services performed. The company was founded by Ervin Graf in 1952 and is headquartered in Sydney, Australia.</t>
        </is>
      </c>
      <c r="AC84" s="8" t="inlineStr">
        <is>
          <t>Equity REITs</t>
        </is>
      </c>
      <c r="AD84" s="8" t="inlineStr">
        <is>
          <t>Real Estate Investment Trusts (REITs)</t>
        </is>
      </c>
      <c r="AE84" s="8" t="inlineStr">
        <is>
          <t>Real Estate</t>
        </is>
      </c>
      <c r="AF84" s="12" t="inlineStr">
        <is>
          <t>Equity REITs</t>
        </is>
      </c>
      <c r="AH84" t="n">
        <v>2155</v>
      </c>
      <c r="AI84" t="n">
        <v>1</v>
      </c>
      <c r="AJ84" t="inlineStr">
        <is>
          <t>Total Scope 1: 2,155tCO2-e (up 13%)</t>
        </is>
      </c>
      <c r="AK84" t="n">
        <v>32121</v>
      </c>
      <c r="AL84" t="n">
        <v>1</v>
      </c>
      <c r="AM84" t="inlineStr">
        <is>
          <t>Total Scope 2: 32,121tCO2-e (down 11%)</t>
        </is>
      </c>
      <c r="AQ84" t="n">
        <v>19</v>
      </c>
      <c r="AR84" t="n">
        <v>0.263813</v>
      </c>
      <c r="AS84" t="n">
        <v>0.006068</v>
      </c>
    </row>
    <row r="85" ht="15" customHeight="1">
      <c r="A85" s="8" t="inlineStr">
        <is>
          <t>HVN-AU</t>
        </is>
      </c>
      <c r="B85" s="8" t="inlineStr">
        <is>
          <t>Harvey Norman Holdings Ltd.</t>
        </is>
      </c>
      <c r="C85" s="8" t="n"/>
      <c r="D85" s="8" t="n"/>
      <c r="E85" s="8" t="n"/>
      <c r="F85" s="8" t="n"/>
      <c r="G85" s="8" t="n"/>
      <c r="H85" s="8" t="n"/>
      <c r="I85" s="8" t="n"/>
      <c r="J85" s="8" t="n"/>
      <c r="K85" s="8" t="n"/>
      <c r="L85" s="8" t="n"/>
      <c r="M85" s="8" t="n"/>
      <c r="N85" s="17" t="n"/>
      <c r="O85" s="17" t="n"/>
      <c r="P85" s="17" t="n"/>
      <c r="Q85" s="17" t="n"/>
      <c r="R85" s="10">
        <f>IFERROR(_xlfn.XLOOKUP($A85,Profitability!$A$5:$A$342,Profitability!$Q$5:$Q$342),"na")</f>
        <v/>
      </c>
      <c r="S85" s="10">
        <f>IFERROR(_xlfn.XLOOKUP($A85,Profitability!$A$5:$A$342,Profitability!$R$5:$R$342),"na")</f>
        <v/>
      </c>
      <c r="T85" s="8" t="inlineStr">
        <is>
          <t>Public</t>
        </is>
      </c>
      <c r="U85" s="8" t="inlineStr">
        <is>
          <t>Australia</t>
        </is>
      </c>
      <c r="V85" s="9" t="n">
        <v>1987</v>
      </c>
      <c r="W85" s="10" t="n">
        <v>6600</v>
      </c>
      <c r="X85" s="11" t="n">
        <v>4121.467</v>
      </c>
      <c r="Y85" s="8" t="inlineStr">
        <is>
          <t>Pacific</t>
        </is>
      </c>
      <c r="Z85" s="8" t="inlineStr">
        <is>
          <t>New South Wales (NSW)</t>
        </is>
      </c>
      <c r="AA85" s="11" t="n">
        <v>8373.227206370901</v>
      </c>
      <c r="AB85" s="8" t="inlineStr">
        <is>
          <t>Harvey Norman Holdings Ltd. engages in the retail, franchise, property, and digital enterprise business. It operates through the following segments: Franchising Operations, Retail-New Zealand, Retail-Singapore and Malaysia, Retail-Slovenia and Croatia, Retail-Ireland and Northern Ireland, Other Non-Franchised Retail, Retail Property, Retail Property Under Construction, Property Developments for Resale, Equity Investments, and Other. The company was founded by Gerald Harvey and Ian John Norman in October 1982 and is headquartered in Sydney, Australia.</t>
        </is>
      </c>
      <c r="AC85" s="8" t="inlineStr">
        <is>
          <t>Department Stores</t>
        </is>
      </c>
      <c r="AD85" s="8" t="inlineStr">
        <is>
          <t>General Merchandise Retail</t>
        </is>
      </c>
      <c r="AE85" s="8" t="inlineStr">
        <is>
          <t>Food and Staples Retail</t>
        </is>
      </c>
      <c r="AF85" s="12" t="inlineStr">
        <is>
          <t>Asia/Pacific Department Stores</t>
        </is>
      </c>
      <c r="AR85" t="n">
        <v>0.125687</v>
      </c>
    </row>
    <row r="86" ht="15" customHeight="1">
      <c r="A86" s="8" t="inlineStr">
        <is>
          <t>ALL-AU</t>
        </is>
      </c>
      <c r="B86" s="8" t="inlineStr">
        <is>
          <t>Aristocrat Leisure Ltd.</t>
        </is>
      </c>
      <c r="C86" s="8" t="n"/>
      <c r="D86" s="8" t="n"/>
      <c r="E86" s="8" t="n"/>
      <c r="F86" s="8" t="n"/>
      <c r="G86" s="8" t="n"/>
      <c r="H86" s="8" t="n"/>
      <c r="I86" s="8" t="n"/>
      <c r="J86" s="8" t="n"/>
      <c r="K86" s="8" t="n"/>
      <c r="L86" s="8" t="n"/>
      <c r="M86" s="8" t="n"/>
      <c r="N86" s="17" t="n"/>
      <c r="O86" s="17" t="n"/>
      <c r="P86" s="17" t="n"/>
      <c r="Q86" s="17" t="n"/>
      <c r="R86" s="10">
        <f>IFERROR(_xlfn.XLOOKUP($A86,Profitability!$A$5:$A$342,Profitability!$Q$5:$Q$342),"na")</f>
        <v/>
      </c>
      <c r="S86" s="10">
        <f>IFERROR(_xlfn.XLOOKUP($A86,Profitability!$A$5:$A$342,Profitability!$R$5:$R$342),"na")</f>
        <v/>
      </c>
      <c r="T86" s="8" t="inlineStr">
        <is>
          <t>Public</t>
        </is>
      </c>
      <c r="U86" s="8" t="inlineStr">
        <is>
          <t>Australia</t>
        </is>
      </c>
      <c r="V86" s="9" t="n">
        <v>1984</v>
      </c>
      <c r="W86" s="10" t="n">
        <v>8500</v>
      </c>
      <c r="X86" s="11" t="n">
        <v>6603.59999999999</v>
      </c>
      <c r="Y86" s="8" t="inlineStr">
        <is>
          <t>Pacific</t>
        </is>
      </c>
      <c r="Z86" s="8" t="inlineStr">
        <is>
          <t>New South Wales (NSW)</t>
        </is>
      </c>
      <c r="AA86" s="11" t="n">
        <v>10303.4001765625</v>
      </c>
      <c r="AB86" s="8" t="inlineStr">
        <is>
          <t>Aristocrat Leisure Ltd. is a global entertainment and gaming content creation company powered by technology. It offers offers a diverse range of products and services including electronic gaming machines, casino management systems, free-to-play mobile games and online real money games, that serve customers. The firm operates through the following segments: Aristocrat Gaming, Pixel United, and Aristocrat Interactive segments. The Aristocrat Gaming segment involves in the land-based gaming. The Aristocrat Interactive segment includes online real money gaming. The Pixel United segment includes mobile games. The company was founded in 1953 and is headquartered in Sydney, Australia.</t>
        </is>
      </c>
      <c r="AC86" s="8" t="inlineStr">
        <is>
          <t>Arts, Entertainment and Recreation Providers</t>
        </is>
      </c>
      <c r="AD86" s="8" t="inlineStr">
        <is>
          <t>Hospitality Services</t>
        </is>
      </c>
      <c r="AE86" s="8" t="inlineStr">
        <is>
          <t>Hospitality Services</t>
        </is>
      </c>
      <c r="AF86" s="12" t="inlineStr">
        <is>
          <t>Gaming Industries</t>
        </is>
      </c>
      <c r="AR86" t="n">
        <v>0.197377</v>
      </c>
    </row>
    <row r="87" ht="15" customHeight="1">
      <c r="A87" s="8" t="inlineStr">
        <is>
          <t>ORI-AU</t>
        </is>
      </c>
      <c r="B87" s="8" t="inlineStr">
        <is>
          <t>Orica Ltd.</t>
        </is>
      </c>
      <c r="C87" s="8" t="n"/>
      <c r="D87" s="8" t="inlineStr">
        <is>
          <t>Vishal</t>
        </is>
      </c>
      <c r="E87" s="8" t="inlineStr">
        <is>
          <t>Germán Morales Baeza</t>
        </is>
      </c>
      <c r="F87" s="8" t="inlineStr">
        <is>
          <t>Request message sent</t>
        </is>
      </c>
      <c r="G87" s="8" t="n"/>
      <c r="H87" s="8" t="n"/>
      <c r="I87" s="8" t="n"/>
      <c r="J87" s="8" t="n"/>
      <c r="K87" s="8" t="n"/>
      <c r="L87" s="8" t="n"/>
      <c r="M87" s="8" t="n"/>
      <c r="N87" s="17" t="n"/>
      <c r="O87" s="17" t="n"/>
      <c r="P87" s="10" t="n">
        <v>938397</v>
      </c>
      <c r="Q87" s="10" t="n">
        <v>141207</v>
      </c>
      <c r="R87" s="10">
        <f>IFERROR(_xlfn.XLOOKUP($A87,Profitability!$A$5:$A$342,Profitability!$Q$5:$Q$342),"na")</f>
        <v/>
      </c>
      <c r="S87" s="10">
        <f>IFERROR(_xlfn.XLOOKUP($A87,Profitability!$A$5:$A$342,Profitability!$R$5:$R$342),"na")</f>
        <v/>
      </c>
      <c r="T87" s="8" t="inlineStr">
        <is>
          <t>Public</t>
        </is>
      </c>
      <c r="U87" s="8" t="inlineStr">
        <is>
          <t>Australia</t>
        </is>
      </c>
      <c r="V87" s="9" t="n">
        <v>1874</v>
      </c>
      <c r="W87" s="10" t="n">
        <v>14000</v>
      </c>
      <c r="X87" s="11" t="n">
        <v>7662.79999999999</v>
      </c>
      <c r="Y87" s="8" t="inlineStr">
        <is>
          <t>Pacific</t>
        </is>
      </c>
      <c r="Z87" s="8" t="inlineStr">
        <is>
          <t>Victoria (VIC)</t>
        </is>
      </c>
      <c r="AA87" s="11" t="n">
        <v>9792.600167809271</v>
      </c>
      <c r="AB87" s="8" t="inlineStr">
        <is>
          <t>Orica Ltd. engages in the provision of mining and infrastructure solutions. The firm is also involved in manufacturing and distribution of commercial explosives and blasting systems including technical services and solutions; mining and tunneling support systems to the mining and infrastructure markets; and various chemical products and services. It operates through the following segments: Australia, Pacific, and Asia (APA); North America; Latin America; Europe, Middle East, and Africa (EMEA); Digital Solutions; and Global Support. The company was founded in 1874 and is headquartered in Melbourne, Australia.</t>
        </is>
      </c>
      <c r="AC87" s="8" t="inlineStr">
        <is>
          <t>Additives Manufacturing</t>
        </is>
      </c>
      <c r="AD87" s="8" t="inlineStr">
        <is>
          <t>Specialty and Performance Chemicals</t>
        </is>
      </c>
      <c r="AE87" s="8" t="inlineStr">
        <is>
          <t>Chemical, Plastic and Rubber Materials</t>
        </is>
      </c>
      <c r="AF87" s="12" t="inlineStr">
        <is>
          <t>Manufacturing Additives Manufacturing</t>
        </is>
      </c>
      <c r="AH87" t="n">
        <v>1158000</v>
      </c>
      <c r="AJ87" t="inlineStr">
        <is>
          <t>FY2024 Global Scope 1 emissions (1,158 ktCO₂-e).</t>
        </is>
      </c>
      <c r="AK87" t="n">
        <v>139000</v>
      </c>
      <c r="AM87" t="inlineStr">
        <is>
          <t>FY2024 Global Scope 2 emissions (139 ktCO₂-e).</t>
        </is>
      </c>
      <c r="AN87" t="n">
        <v>7891000</v>
      </c>
      <c r="AP87" t="inlineStr">
        <is>
          <t>FY2024 Global Scope 3 emissions (7,891 ktCO₂-e).</t>
        </is>
      </c>
      <c r="AR87" t="n">
        <v>0.06846099999999999</v>
      </c>
    </row>
    <row r="88" ht="15" customHeight="1">
      <c r="A88" s="8" t="inlineStr">
        <is>
          <t>FLT-AU</t>
        </is>
      </c>
      <c r="B88" s="8" t="inlineStr">
        <is>
          <t>Flight Centre Travel Group Ltd.</t>
        </is>
      </c>
      <c r="C88" s="8" t="n"/>
      <c r="D88" s="8" t="n"/>
      <c r="E88" s="8" t="n"/>
      <c r="F88" s="8" t="n"/>
      <c r="G88" s="8" t="n"/>
      <c r="H88" s="8" t="n"/>
      <c r="I88" s="8" t="n"/>
      <c r="J88" s="8" t="n"/>
      <c r="K88" s="8" t="n"/>
      <c r="L88" s="8" t="n"/>
      <c r="M88" s="8" t="n"/>
      <c r="N88" s="17" t="n"/>
      <c r="O88" s="17" t="n"/>
      <c r="P88" s="17" t="n"/>
      <c r="Q88" s="17" t="n"/>
      <c r="R88" s="10">
        <f>IFERROR(_xlfn.XLOOKUP($A88,Profitability!$A$5:$A$342,Profitability!$Q$5:$Q$342),"na")</f>
        <v/>
      </c>
      <c r="S88" s="10">
        <f>IFERROR(_xlfn.XLOOKUP($A88,Profitability!$A$5:$A$342,Profitability!$R$5:$R$342),"na")</f>
        <v/>
      </c>
      <c r="T88" s="8" t="inlineStr">
        <is>
          <t>Public</t>
        </is>
      </c>
      <c r="U88" s="8" t="inlineStr">
        <is>
          <t>Australia</t>
        </is>
      </c>
      <c r="V88" s="9" t="n">
        <v>1987</v>
      </c>
      <c r="W88" s="10" t="n">
        <v>12411</v>
      </c>
      <c r="X88" s="11" t="n">
        <v>2783.94399999999</v>
      </c>
      <c r="Y88" s="8" t="inlineStr">
        <is>
          <t>Pacific</t>
        </is>
      </c>
      <c r="Z88" s="8" t="inlineStr">
        <is>
          <t>Queensland (QLD)</t>
        </is>
      </c>
      <c r="AA88" s="11" t="n">
        <v>4222.67110407413</v>
      </c>
      <c r="AB88" s="8" t="inlineStr">
        <is>
          <t>Flight Centre Travel Group Ltd. is engaged in providing travel retailing, wholesaling and corporate travel management services. It also engages in in-destination travel experience businesses including tour operators, hotel management, destination management companies and wholesaling. The company was founded by William James, Chris Greive, Graham Francis Turner and Geoff L. Harris in 1982 and is headquartered in South Brisbane, Australia.</t>
        </is>
      </c>
      <c r="AC88" s="8" t="inlineStr">
        <is>
          <t>Travel Arrangement and Reservation Services</t>
        </is>
      </c>
      <c r="AD88" s="8" t="inlineStr">
        <is>
          <t>Hospitality Services</t>
        </is>
      </c>
      <c r="AE88" s="8" t="inlineStr">
        <is>
          <t>Hospitality Services</t>
        </is>
      </c>
      <c r="AF88" s="12" t="inlineStr">
        <is>
          <t>Travel Agencies</t>
        </is>
      </c>
      <c r="AH88" t="n">
        <v>22554</v>
      </c>
      <c r="AI88" t="n">
        <v>1</v>
      </c>
      <c r="AJ88" t="inlineStr">
        <is>
          <t>Scope 1 – Where activity data was available emissions were calculated on this basis.</t>
        </is>
      </c>
      <c r="AK88" t="n">
        <v>9324</v>
      </c>
      <c r="AL88" t="n">
        <v>1</v>
      </c>
      <c r="AM88" t="inlineStr">
        <is>
          <t>Scope 2 – Calculations were made where metered energy consumption billing data was available.</t>
        </is>
      </c>
      <c r="AN88" t="n">
        <v>181919</v>
      </c>
      <c r="AO88" t="n">
        <v>1</v>
      </c>
      <c r="AP88">
        <f>== Table 7 (page 55) ===
Graph 1. FY19 and FY23 FLT carbon footprint (excluding scope 3 category 11) (‘000 tCO2e emissions)15,,,,,,,
350,,,,,,,</f>
        <v/>
      </c>
      <c r="AQ88" t="n">
        <v>40</v>
      </c>
      <c r="AR88" t="n">
        <v>0.039329</v>
      </c>
      <c r="AS88" t="n">
        <v>0.014368</v>
      </c>
    </row>
    <row r="89" ht="15" customHeight="1">
      <c r="A89" s="8" t="inlineStr">
        <is>
          <t>TCL-AU</t>
        </is>
      </c>
      <c r="B89" s="8" t="inlineStr">
        <is>
          <t>Transurban Group Ltd.</t>
        </is>
      </c>
      <c r="C89" s="8" t="n"/>
      <c r="D89" s="8" t="n"/>
      <c r="E89" s="8" t="n"/>
      <c r="F89" s="8" t="n"/>
      <c r="G89" s="8" t="n"/>
      <c r="H89" s="8" t="n"/>
      <c r="I89" s="8" t="n"/>
      <c r="J89" s="8" t="n"/>
      <c r="K89" s="8" t="n"/>
      <c r="L89" s="8" t="n"/>
      <c r="M89" s="8" t="n"/>
      <c r="N89" s="17" t="n"/>
      <c r="O89" s="17" t="n"/>
      <c r="P89" s="17" t="n"/>
      <c r="Q89" s="17" t="n"/>
      <c r="R89" s="10">
        <f>IFERROR(_xlfn.XLOOKUP($A89,Profitability!$A$5:$A$342,Profitability!$Q$5:$Q$342),"na")</f>
        <v/>
      </c>
      <c r="S89" s="10">
        <f>IFERROR(_xlfn.XLOOKUP($A89,Profitability!$A$5:$A$342,Profitability!$R$5:$R$342),"na")</f>
        <v/>
      </c>
      <c r="T89" s="8" t="inlineStr">
        <is>
          <t>Public</t>
        </is>
      </c>
      <c r="U89" s="8" t="inlineStr">
        <is>
          <t>Australia</t>
        </is>
      </c>
      <c r="V89" s="9" t="n">
        <v>1996</v>
      </c>
      <c r="W89" s="10" t="n">
        <v>8200</v>
      </c>
      <c r="X89" s="11" t="n">
        <v>3942</v>
      </c>
      <c r="Y89" s="8" t="inlineStr">
        <is>
          <t>Pacific</t>
        </is>
      </c>
      <c r="Z89" s="8" t="inlineStr">
        <is>
          <t>Victoria (VIC)</t>
        </is>
      </c>
      <c r="AA89" s="11" t="n">
        <v>36851.0009082489</v>
      </c>
      <c r="AB89" s="8" t="inlineStr">
        <is>
          <t>Transurban Group Ltd. engages in the development, operation, and maintenance of toll roads. It operates through the following geographical segments: Melbourne, Sydney, Brisbane, North America, and Corporate and Other. The company was founded in 1996 and is headquartered in Docklands, Australia.</t>
        </is>
      </c>
      <c r="AC89" s="8" t="inlineStr">
        <is>
          <t>Road and Rail Transportation Operators</t>
        </is>
      </c>
      <c r="AD89" s="8" t="inlineStr">
        <is>
          <t>Cargo Transportation and Infrastructure Services</t>
        </is>
      </c>
      <c r="AE89" s="8" t="inlineStr">
        <is>
          <t>Industrial Services</t>
        </is>
      </c>
      <c r="AF89" s="12" t="inlineStr">
        <is>
          <t>Road Transportation</t>
        </is>
      </c>
      <c r="AH89" t="n">
        <v>5910</v>
      </c>
      <c r="AJ89" t="inlineStr">
        <is>
          <t>Total Scope 1 greenhouse gas emissions (5,910 tCO2-e) for FY24.</t>
        </is>
      </c>
      <c r="AK89" t="n">
        <v>30669</v>
      </c>
      <c r="AM89" t="inlineStr">
        <is>
          <t>Total scope 2 greenhouse gas emissions (“market-based”) (30,669 tCO2-e) for FY24.</t>
        </is>
      </c>
      <c r="AN89" t="n">
        <v>370826</v>
      </c>
      <c r="AP89" t="inlineStr">
        <is>
          <t>Total Scope 3 greenhouse gas emissions (370,826 tCO2-e) for FY24.</t>
        </is>
      </c>
      <c r="AR89" t="n">
        <v>0.033739</v>
      </c>
    </row>
    <row r="90" ht="15" customHeight="1">
      <c r="A90" s="8" t="inlineStr">
        <is>
          <t>A1N-AU</t>
        </is>
      </c>
      <c r="B90" s="8" t="inlineStr">
        <is>
          <t>ARN Media Ltd.</t>
        </is>
      </c>
      <c r="C90" s="8" t="n"/>
      <c r="D90" s="8" t="n"/>
      <c r="E90" s="8" t="n"/>
      <c r="F90" s="8" t="n"/>
      <c r="G90" s="8" t="n"/>
      <c r="H90" s="8" t="n"/>
      <c r="I90" s="8" t="n"/>
      <c r="J90" s="8" t="n"/>
      <c r="K90" s="8" t="n"/>
      <c r="L90" s="8" t="n"/>
      <c r="M90" s="8" t="n"/>
      <c r="N90" s="17" t="n"/>
      <c r="O90" s="17" t="n"/>
      <c r="P90" s="17" t="n"/>
      <c r="Q90" s="17" t="n"/>
      <c r="R90" s="10">
        <f>IFERROR(_xlfn.XLOOKUP($A90,Profitability!$A$5:$A$342,Profitability!$Q$5:$Q$342),"na")</f>
        <v/>
      </c>
      <c r="S90" s="10">
        <f>IFERROR(_xlfn.XLOOKUP($A90,Profitability!$A$5:$A$342,Profitability!$R$5:$R$342),"na")</f>
        <v/>
      </c>
      <c r="T90" s="8" t="inlineStr">
        <is>
          <t>Public</t>
        </is>
      </c>
      <c r="U90" s="8" t="inlineStr">
        <is>
          <t>Australia</t>
        </is>
      </c>
      <c r="V90" s="9" t="n">
        <v>1988</v>
      </c>
      <c r="W90" s="10" t="inlineStr">
        <is>
          <t>-</t>
        </is>
      </c>
      <c r="X90" s="11" t="n">
        <v>365.647999999999</v>
      </c>
      <c r="Y90" s="8" t="inlineStr">
        <is>
          <t>Pacific</t>
        </is>
      </c>
      <c r="Z90" s="8" t="inlineStr">
        <is>
          <t>New South Wales (NSW)</t>
        </is>
      </c>
      <c r="AA90" s="11" t="n">
        <v>907.040971865169</v>
      </c>
      <c r="AB90" s="8" t="inlineStr">
        <is>
          <t>ARN Media Ltd. is a media and entertainment company. It operates through the following business segments: Australian Radio Network, HK outdoor and Digital Investments. The Australian Radio Network segment involves in Metropolitan radio networks. The HK Outdoor segment engages in billboard, transit and other outdoor advertising activities in Hong Kong. The Digital Investments segment includes interest on conversant media, emotive and equity accounted investments. The company was founded in 1988 and is headquartered in Macquarie Park, Australia.</t>
        </is>
      </c>
      <c r="AC90" s="8" t="inlineStr">
        <is>
          <t>Broadcast Media Services</t>
        </is>
      </c>
      <c r="AD90" s="8" t="inlineStr">
        <is>
          <t>Media and Publishing Services</t>
        </is>
      </c>
      <c r="AE90" s="8" t="inlineStr">
        <is>
          <t>Media and Publishing Services</t>
        </is>
      </c>
      <c r="AF90" s="12" t="inlineStr">
        <is>
          <t>Radio and Television Broadcasting</t>
        </is>
      </c>
      <c r="AR90" t="n">
        <v>0.010554</v>
      </c>
    </row>
    <row r="91" ht="15" customHeight="1">
      <c r="A91" s="8" t="inlineStr">
        <is>
          <t>SOL-AU</t>
        </is>
      </c>
      <c r="B91" s="8" t="inlineStr">
        <is>
          <t>Washington H. Soul Pattinson &amp; Co. Ltd.</t>
        </is>
      </c>
      <c r="C91" s="8" t="n"/>
      <c r="D91" s="8" t="n"/>
      <c r="E91" s="8" t="n"/>
      <c r="F91" s="8" t="n"/>
      <c r="G91" s="8" t="n"/>
      <c r="H91" s="8" t="n"/>
      <c r="I91" s="8" t="n"/>
      <c r="J91" s="8" t="n"/>
      <c r="K91" s="8" t="n"/>
      <c r="L91" s="8" t="n"/>
      <c r="M91" s="8" t="n"/>
      <c r="N91" s="17" t="n"/>
      <c r="O91" s="17" t="n"/>
      <c r="P91" s="17" t="n"/>
      <c r="Q91" s="17" t="n"/>
      <c r="R91" s="10">
        <f>IFERROR(_xlfn.XLOOKUP($A91,Profitability!$A$5:$A$342,Profitability!$Q$5:$Q$342),"na")</f>
        <v/>
      </c>
      <c r="S91" s="10">
        <f>IFERROR(_xlfn.XLOOKUP($A91,Profitability!$A$5:$A$342,Profitability!$R$5:$R$342),"na")</f>
        <v/>
      </c>
      <c r="T91" s="8" t="inlineStr">
        <is>
          <t>Public</t>
        </is>
      </c>
      <c r="U91" s="8" t="inlineStr">
        <is>
          <t>Australia</t>
        </is>
      </c>
      <c r="V91" s="9" t="n">
        <v>1903</v>
      </c>
      <c r="W91" s="10" t="n">
        <v>51</v>
      </c>
      <c r="X91" s="11" t="n">
        <v>557.599999999999</v>
      </c>
      <c r="Y91" s="8" t="inlineStr">
        <is>
          <t>Pacific</t>
        </is>
      </c>
      <c r="Z91" s="8" t="inlineStr">
        <is>
          <t>New South Wales (NSW)</t>
        </is>
      </c>
      <c r="AA91" s="11" t="n">
        <v>10397.7002726905</v>
      </c>
      <c r="AB91" s="8" t="inlineStr">
        <is>
          <t>Washington H. Soul Pattinson &amp; Co. Ltd. engages in the ownership of shares, coal mining, distribution and retail of pharmaceutical products, and manufacture of building products. It operates through the following segments: Strategic Portfolio, Large Caps Portfolio, Private Equity Portfolio, Credit Portfolio, Emerging Companies Portfolio, and Property Portfolio. The Strategic Portfolio segment focuses on significant investments in largely uncorrelated listed companies, generally with board representation. The Large Caps Portfolio segment is involved in listed equities generating consistent income and capital growth over the long term. The Private Equity Portfolio segment includes long-term investments in unlisted companies to support their future growth. The Credit Portfolio segment refers to the investments in different types of credit related financial instruments across an investee's capital structure aimed at optimizing the portfolio's risk adjusted returns. The Emerging Companies Portfolio segment represents the exposure to faster growing companies often benefitting from structural changes and trends in the domestic and global economy. The Property Portfolio segment managed Australian property investments as well as investments in property development joint ventures. The company was founded by Caleb Soul in 1872 and is headquartered in Sydney, Australia.</t>
        </is>
      </c>
      <c r="AC91" s="8" t="inlineStr">
        <is>
          <t>Investment Holding Companies</t>
        </is>
      </c>
      <c r="AD91" s="8" t="inlineStr">
        <is>
          <t>Investment Services</t>
        </is>
      </c>
      <c r="AE91" s="8" t="inlineStr">
        <is>
          <t>Investment Services</t>
        </is>
      </c>
      <c r="AF91" s="12" t="inlineStr">
        <is>
          <t>Investment Company</t>
        </is>
      </c>
      <c r="AH91" t="n">
        <v>8373</v>
      </c>
      <c r="AJ91" t="inlineStr">
        <is>
          <t>FY24 Scope 1 emissions for Controlled investments (tCO2e).</t>
        </is>
      </c>
      <c r="AK91" t="n">
        <v>18595</v>
      </c>
      <c r="AM91" t="inlineStr">
        <is>
          <t>FY24 Scope 2 emissions for Controlled investments (tCO2e). Note: Direct operations Scope 2 emissions are zero using a market-based approach.</t>
        </is>
      </c>
      <c r="AN91" t="n">
        <v>0</v>
      </c>
      <c r="AP91" t="inlineStr">
        <is>
          <t>No specific Scope 3 total found.</t>
        </is>
      </c>
      <c r="AR91" t="n">
        <v>0.653156</v>
      </c>
    </row>
    <row r="92" ht="15" customHeight="1">
      <c r="A92" s="8" t="inlineStr">
        <is>
          <t>ASX-AU</t>
        </is>
      </c>
      <c r="B92" s="8" t="inlineStr">
        <is>
          <t>ASX Ltd.</t>
        </is>
      </c>
      <c r="C92" s="8" t="n"/>
      <c r="D92" s="8" t="n"/>
      <c r="E92" s="8" t="n"/>
      <c r="F92" s="8" t="n"/>
      <c r="G92" s="8" t="n"/>
      <c r="H92" s="8" t="n"/>
      <c r="I92" s="8" t="n"/>
      <c r="J92" s="8" t="n"/>
      <c r="K92" s="8" t="n"/>
      <c r="L92" s="8" t="n"/>
      <c r="M92" s="8" t="n"/>
      <c r="N92" s="17" t="n"/>
      <c r="O92" s="17" t="n"/>
      <c r="P92" s="17" t="n"/>
      <c r="Q92" s="17" t="n"/>
      <c r="R92" s="10">
        <f>IFERROR(_xlfn.XLOOKUP($A92,Profitability!$A$5:$A$342,Profitability!$Q$5:$Q$342),"na")</f>
        <v/>
      </c>
      <c r="S92" s="10">
        <f>IFERROR(_xlfn.XLOOKUP($A92,Profitability!$A$5:$A$342,Profitability!$R$5:$R$342),"na")</f>
        <v/>
      </c>
      <c r="T92" s="8" t="inlineStr">
        <is>
          <t>Public</t>
        </is>
      </c>
      <c r="U92" s="8" t="inlineStr">
        <is>
          <t>Australia</t>
        </is>
      </c>
      <c r="V92" s="9" t="n">
        <v>2009</v>
      </c>
      <c r="W92" s="10" t="n">
        <v>1331</v>
      </c>
      <c r="X92" s="11" t="n">
        <v>1712.09999999999</v>
      </c>
      <c r="Y92" s="8" t="inlineStr">
        <is>
          <t>Pacific</t>
        </is>
      </c>
      <c r="Z92" s="8" t="inlineStr">
        <is>
          <t>New South Wales (NSW)</t>
        </is>
      </c>
      <c r="AA92" s="11" t="n">
        <v>17569.4004330246</v>
      </c>
      <c r="AB92" s="8" t="inlineStr">
        <is>
          <t>ASX Ltd. engages in operating a securities exchange. Its products and services include listing and issuer services, trading venue; clearing and settlement activities, exchange-traded and over-the-counter products, and information and technical services. The company was founded in April 1987 and is headquartered in Sydney, Australia.</t>
        </is>
      </c>
      <c r="AC92" s="8" t="inlineStr">
        <is>
          <t>Securities Sales and Trading Services</t>
        </is>
      </c>
      <c r="AD92" s="8" t="inlineStr">
        <is>
          <t>Investment Services</t>
        </is>
      </c>
      <c r="AE92" s="8" t="inlineStr">
        <is>
          <t>Investment Services</t>
        </is>
      </c>
      <c r="AF92" s="12" t="inlineStr">
        <is>
          <t>Other Securities Sales and Trading Services</t>
        </is>
      </c>
      <c r="AH92" t="n">
        <v>1000</v>
      </c>
      <c r="AI92" t="n">
        <v>1</v>
      </c>
      <c r="AJ92" t="inlineStr">
        <is>
          <t>Scope 1 – diesel and gas,37,34</t>
        </is>
      </c>
      <c r="AK92" t="n">
        <v>1000</v>
      </c>
      <c r="AL92" t="n">
        <v>1</v>
      </c>
      <c r="AM92" t="inlineStr">
        <is>
          <t>Scope 1 – diesel and gas,37
Scope 2 – electricity,60
Market-based GHG emissions by activity (t CO2-e),</t>
        </is>
      </c>
      <c r="AN92" t="n">
        <v>1592</v>
      </c>
      <c r="AO92" t="n">
        <v>1</v>
      </c>
      <c r="AP92" t="inlineStr">
        <is>
          <t>,,emissions after purchase
"c.  ASX’s gross emissions reduced by 3% in FY25 for Scope 1, Scope 2 and Scope 3 emissions compared",,
,to our FY21 base year.,and surrender of offsets</t>
        </is>
      </c>
      <c r="AQ92" t="n">
        <v>13</v>
      </c>
      <c r="AR92" t="n">
        <v>0.293558</v>
      </c>
      <c r="AS92" t="n">
        <v>0.007593</v>
      </c>
    </row>
    <row r="93" ht="15" customHeight="1">
      <c r="A93" s="8" t="inlineStr">
        <is>
          <t>SHL-AU</t>
        </is>
      </c>
      <c r="B93" s="8" t="inlineStr">
        <is>
          <t>Sonic Healthcare Ltd.</t>
        </is>
      </c>
      <c r="C93" s="8" t="n"/>
      <c r="D93" s="8" t="n"/>
      <c r="E93" s="8" t="n"/>
      <c r="F93" s="8" t="n"/>
      <c r="G93" s="8" t="n"/>
      <c r="H93" s="8" t="n"/>
      <c r="I93" s="8" t="n"/>
      <c r="J93" s="8" t="n"/>
      <c r="K93" s="8" t="n"/>
      <c r="L93" s="8" t="n"/>
      <c r="M93" s="8" t="n"/>
      <c r="N93" s="17" t="n"/>
      <c r="O93" s="17" t="n"/>
      <c r="P93" s="10" t="n">
        <v>7415</v>
      </c>
      <c r="Q93" s="10" t="n">
        <v>49650</v>
      </c>
      <c r="R93" s="10">
        <f>IFERROR(_xlfn.XLOOKUP($A93,Profitability!$A$5:$A$342,Profitability!$Q$5:$Q$342),"na")</f>
        <v/>
      </c>
      <c r="S93" s="10">
        <f>IFERROR(_xlfn.XLOOKUP($A93,Profitability!$A$5:$A$342,Profitability!$R$5:$R$342),"na")</f>
        <v/>
      </c>
      <c r="T93" s="8" t="inlineStr">
        <is>
          <t>Public</t>
        </is>
      </c>
      <c r="U93" s="8" t="inlineStr">
        <is>
          <t>Australia</t>
        </is>
      </c>
      <c r="V93" s="9" t="n">
        <v>1934</v>
      </c>
      <c r="W93" s="10" t="inlineStr">
        <is>
          <t>-</t>
        </is>
      </c>
      <c r="X93" s="11" t="n">
        <v>9494.303999999989</v>
      </c>
      <c r="Y93" s="8" t="inlineStr">
        <is>
          <t>Pacific</t>
        </is>
      </c>
      <c r="Z93" s="8" t="inlineStr">
        <is>
          <t>New South Wales (NSW)</t>
        </is>
      </c>
      <c r="AA93" s="11" t="n">
        <v>16053.9183956732</v>
      </c>
      <c r="AB93" s="8" t="inlineStr">
        <is>
          <t>Sonic Healthcare Ltd. engages in the provision of medical diagnostics services. It operates through the following segments: Laboratory, Radiology, and Other. The Laboratory segment offers pathology and clinical services. The Radiology segment is involved in diagnostic imaging services in Australia. The Other segment refers to the corporate office function, medical center operations and occupation health services, and other minor operations. The company was founded on September 25, 1934, and is headquartered in Sydney, Australia.</t>
        </is>
      </c>
      <c r="AC93" s="8" t="inlineStr">
        <is>
          <t>Ambulatory and Outpatient Diagnostic Patient Care</t>
        </is>
      </c>
      <c r="AD93" s="8" t="inlineStr">
        <is>
          <t>Patient Care</t>
        </is>
      </c>
      <c r="AE93" s="8" t="inlineStr">
        <is>
          <t>Healthcare Services</t>
        </is>
      </c>
      <c r="AF93" s="12" t="inlineStr">
        <is>
          <t>Clinical Laboratory Patient Diagnostics</t>
        </is>
      </c>
      <c r="AH93" t="n">
        <v>29908</v>
      </c>
      <c r="AJ93" t="inlineStr">
        <is>
          <t>FY2025 Total global Scope 1 emissions (tCO2-e).</t>
        </is>
      </c>
      <c r="AK93" t="n">
        <v>58507</v>
      </c>
      <c r="AM93" t="inlineStr">
        <is>
          <t>FY2025 Scope 2 emissions (market-based) (tCO2-e).</t>
        </is>
      </c>
      <c r="AN93" t="n">
        <v>323506</v>
      </c>
      <c r="AP93" t="inlineStr">
        <is>
          <t>FY2025 Total global Scope 3 (GHG protocol categories 1–9) emissions (tCO2-e).</t>
        </is>
      </c>
      <c r="AR93" t="n">
        <v>0.054095</v>
      </c>
    </row>
    <row r="94" ht="15" customHeight="1">
      <c r="A94" s="8" t="inlineStr">
        <is>
          <t>DNL-AU</t>
        </is>
      </c>
      <c r="B94" s="8" t="inlineStr">
        <is>
          <t>Dyno Nobel Ltd.</t>
        </is>
      </c>
      <c r="C94" s="8" t="n"/>
      <c r="D94" s="8" t="n"/>
      <c r="E94" s="8" t="n"/>
      <c r="F94" s="8" t="n"/>
      <c r="G94" s="8" t="n"/>
      <c r="H94" s="8" t="n"/>
      <c r="I94" s="8" t="n"/>
      <c r="J94" s="8" t="n"/>
      <c r="K94" s="8" t="n"/>
      <c r="L94" s="8" t="n"/>
      <c r="M94" s="8" t="n"/>
      <c r="N94" s="17" t="n"/>
      <c r="O94" s="17" t="n"/>
      <c r="P94" s="17" t="n"/>
      <c r="Q94" s="17" t="n"/>
      <c r="R94" s="10">
        <f>IFERROR(_xlfn.XLOOKUP($A94,Profitability!$A$5:$A$342,Profitability!$Q$5:$Q$342),"na")</f>
        <v/>
      </c>
      <c r="S94" s="10">
        <f>IFERROR(_xlfn.XLOOKUP($A94,Profitability!$A$5:$A$342,Profitability!$R$5:$R$342),"na")</f>
        <v/>
      </c>
      <c r="T94" s="8" t="inlineStr">
        <is>
          <t>Public</t>
        </is>
      </c>
      <c r="U94" s="8" t="inlineStr">
        <is>
          <t>Australia</t>
        </is>
      </c>
      <c r="V94" s="9" t="n">
        <v>1919</v>
      </c>
      <c r="W94" s="10" t="n">
        <v>5600</v>
      </c>
      <c r="X94" s="11" t="n">
        <v>5278.49999999999</v>
      </c>
      <c r="Y94" s="8" t="inlineStr">
        <is>
          <t>Pacific</t>
        </is>
      </c>
      <c r="Z94" s="8" t="inlineStr">
        <is>
          <t>Victoria (VIC)</t>
        </is>
      </c>
      <c r="AA94" s="11" t="n">
        <v>8398.400143917779</v>
      </c>
      <c r="AB94" s="8" t="inlineStr">
        <is>
          <t>Dyno Nobel Ltd. engages in manufacturing and selling of explosives, fertilisers and industrial chemicals. The company operates through businesses: Asia Pacific, Americas, and Corporate. The Asia Pacific business operates through five segments: Incitec Pivot Fertilisers, Southern Cross International, Fertilisers Elimination, Dyno Nobel Asia Pacific and Asia Pacific Eliminations. The Incitec Pivot Fertilisers segment manufactures and distributes fertilisers in Eastern Australia. The Southern Cross International segment manufactures ammonium phosphates and distributes its manufactured fertilizer products to wholesalers in Australia. The Fertilisers Elimination segment represents the elimination of sales and profit in stock arising from the sale of SCI manufactured products. The Dyno Nobel Asia Pacific segment manufactures and sells industrial explosives and related products and services to the mining industry in the Asia Pacific region and Turkey. The Asia Pacific Eliminations segment represents elimination of sales and profit in stock arising from IPF and SCI sales to DNAP at an arm’s length transfer price. The America business operates through Dyno Nobel Americas segment, which manufactures and sells industrial explosives and related products and services to the mining, quarrying and construction industries in the Americas. The Corporate segment operates through Group Eliminations segment, which represents elimination of sales and profit in stock arising from intersegment sales at an arm's length transfer price. The company was founded in 2003 and is headquartered in Melbourne, Australia.</t>
        </is>
      </c>
      <c r="AC94" s="8" t="inlineStr">
        <is>
          <t>Additives Manufacturing</t>
        </is>
      </c>
      <c r="AD94" s="8" t="inlineStr">
        <is>
          <t>Specialty and Performance Chemicals</t>
        </is>
      </c>
      <c r="AE94" s="8" t="inlineStr">
        <is>
          <t>Chemical, Plastic and Rubber Materials</t>
        </is>
      </c>
      <c r="AF94" s="12" t="inlineStr">
        <is>
          <t>Manufacturing Additives Manufacturing</t>
        </is>
      </c>
      <c r="AR94" t="n">
        <v>0.027887</v>
      </c>
    </row>
    <row r="95" ht="15" customHeight="1">
      <c r="A95" s="8" t="inlineStr">
        <is>
          <t>CPU-AU</t>
        </is>
      </c>
      <c r="B95" s="8" t="inlineStr">
        <is>
          <t>Computershare Ltd.</t>
        </is>
      </c>
      <c r="C95" s="8" t="n"/>
      <c r="D95" s="8" t="n"/>
      <c r="E95" s="8" t="n"/>
      <c r="F95" s="8" t="n"/>
      <c r="G95" s="8" t="n"/>
      <c r="H95" s="8" t="n"/>
      <c r="I95" s="8" t="n"/>
      <c r="J95" s="8" t="n"/>
      <c r="K95" s="8" t="n"/>
      <c r="L95" s="8" t="n"/>
      <c r="M95" s="8" t="n"/>
      <c r="N95" s="17" t="n"/>
      <c r="O95" s="17" t="n"/>
      <c r="P95" s="17" t="n"/>
      <c r="Q95" s="17" t="n"/>
      <c r="R95" s="10">
        <f>IFERROR(_xlfn.XLOOKUP($A95,Profitability!$A$5:$A$342,Profitability!$Q$5:$Q$342),"na")</f>
        <v/>
      </c>
      <c r="S95" s="10">
        <f>IFERROR(_xlfn.XLOOKUP($A95,Profitability!$A$5:$A$342,Profitability!$R$5:$R$342),"na")</f>
        <v/>
      </c>
      <c r="T95" s="8" t="inlineStr">
        <is>
          <t>Public</t>
        </is>
      </c>
      <c r="U95" s="8" t="inlineStr">
        <is>
          <t>Australia</t>
        </is>
      </c>
      <c r="V95" s="9" t="n">
        <v>1978</v>
      </c>
      <c r="W95" s="10" t="inlineStr">
        <is>
          <t>-</t>
        </is>
      </c>
      <c r="X95" s="11" t="n">
        <v>4732.97610853894</v>
      </c>
      <c r="Y95" s="8" t="inlineStr">
        <is>
          <t>Pacific</t>
        </is>
      </c>
      <c r="Z95" s="8" t="inlineStr">
        <is>
          <t>Victoria (VIC)</t>
        </is>
      </c>
      <c r="AA95" s="11" t="n">
        <v>8141.34146873187</v>
      </c>
      <c r="AB95" s="8" t="inlineStr">
        <is>
          <t>Computershare Ltd. engages in the provision of investor services, plan services, communication services, business services, stakeholder relationship management services, and technology services. It operates through the following segments: Issuer Services, Global Corporate Trust, Employee Share Plans and Voucher Services, Mortgage Services and Property Rental Services, Communication Services and Utilities, Business Services, and Technology Services and Operations. The Issuer Services segment comprises register maintenance, corporate actions, stakeholder relationship management, corporate governance and related services. The Global Corporate Trust segment refers to the trust and agency services in connection with the administration of debt securities in the US. The Employee Share Plans and Voucher Services segment is involved in the administration and related services for employee share and option plans, together with Childcare Voucher administration in the UK. The Mortgage Services and Property Rental Services segment provides mortgage servicing and related activities, together with tenancy bond protection services in the UK. The Communication Services and Utilities segment focuses on the document composition and printing, intelligent mailing, inbound process automation, scanning, and electronic delivery. The Business Services segment offers bankruptcy, class actions, and corporate trust administration services. The Technology Services and Operations segment includes the provision of software in share registry and financial services. The company was founded by Christopher John Morris in 1978 and is headquartered in Melbourne, Australia.</t>
        </is>
      </c>
      <c r="AC95" s="8" t="inlineStr">
        <is>
          <t>Consulting/Business Process Outsourcing Services</t>
        </is>
      </c>
      <c r="AD95" s="8" t="inlineStr">
        <is>
          <t>Other Professional Services</t>
        </is>
      </c>
      <c r="AE95" s="8" t="inlineStr">
        <is>
          <t>Business Services</t>
        </is>
      </c>
      <c r="AF95" s="12" t="inlineStr">
        <is>
          <t>Other Consulting and Business Process Outsourcing</t>
        </is>
      </c>
      <c r="AH95" t="n">
        <v>1847</v>
      </c>
      <c r="AI95" t="n">
        <v>1</v>
      </c>
      <c r="AJ95" t="inlineStr">
        <is>
          <t>Scope 1,"2,791","1,847",2%,-944,-34%</t>
        </is>
      </c>
      <c r="AK95" t="n">
        <v>129</v>
      </c>
      <c r="AL95" t="n">
        <v>1</v>
      </c>
      <c r="AM95" t="inlineStr">
        <is>
          <t>Scope 2,"8,065",129,&lt;1%,"-7,937",-98%</t>
        </is>
      </c>
      <c r="AN95" t="n">
        <v>93221</v>
      </c>
      <c r="AO95" t="n">
        <v>1</v>
      </c>
      <c r="AP95" t="inlineStr">
        <is>
          <t>Investments",941,1%
"TOTAL, Scope 3 (excl. optional categories)","89,333",94%
"TOTAL, Scope 3 (incl. optional categories)","93,221",98%</t>
        </is>
      </c>
      <c r="AQ95" t="n">
        <v>14</v>
      </c>
      <c r="AR95" t="n">
        <v>0.197389</v>
      </c>
      <c r="AS95" t="n">
        <v>0.002958</v>
      </c>
    </row>
    <row r="96" ht="15" customHeight="1">
      <c r="A96" s="8" t="inlineStr">
        <is>
          <t>REH-AU</t>
        </is>
      </c>
      <c r="B96" s="8" t="inlineStr">
        <is>
          <t>Reece Ltd.</t>
        </is>
      </c>
      <c r="C96" s="8" t="n"/>
      <c r="D96" s="8" t="n"/>
      <c r="E96" s="8" t="n"/>
      <c r="F96" s="8" t="n"/>
      <c r="G96" s="8" t="n"/>
      <c r="H96" s="8" t="n"/>
      <c r="I96" s="8" t="n"/>
      <c r="J96" s="8" t="n"/>
      <c r="K96" s="8" t="n"/>
      <c r="L96" s="8" t="n"/>
      <c r="M96" s="8" t="n"/>
      <c r="N96" s="17" t="n"/>
      <c r="O96" s="17" t="n"/>
      <c r="P96" s="17" t="n"/>
      <c r="Q96" s="17" t="n"/>
      <c r="R96" s="10">
        <f>IFERROR(_xlfn.XLOOKUP($A96,Profitability!$A$5:$A$342,Profitability!$Q$5:$Q$342),"na")</f>
        <v/>
      </c>
      <c r="S96" s="10">
        <f>IFERROR(_xlfn.XLOOKUP($A96,Profitability!$A$5:$A$342,Profitability!$R$5:$R$342),"na")</f>
        <v/>
      </c>
      <c r="T96" s="8" t="inlineStr">
        <is>
          <t>Public</t>
        </is>
      </c>
      <c r="U96" s="8" t="inlineStr">
        <is>
          <t>Australia</t>
        </is>
      </c>
      <c r="V96" s="9" t="n">
        <v>1920</v>
      </c>
      <c r="W96" s="10" t="n">
        <v>9000</v>
      </c>
      <c r="X96" s="11" t="n">
        <v>8978.381999999991</v>
      </c>
      <c r="Y96" s="8" t="inlineStr">
        <is>
          <t>Pacific</t>
        </is>
      </c>
      <c r="Z96" s="8" t="inlineStr">
        <is>
          <t>Victoria (VIC)</t>
        </is>
      </c>
      <c r="AA96" s="11" t="n">
        <v>7417.4531828144</v>
      </c>
      <c r="AB96" s="8" t="inlineStr">
        <is>
          <t>Reece Ltd. engages in supplying plumbing, bathroom, heating, ventilation, air-conditioning, waterworks and refrigeration products to customers in the trade, retail and commercial markets. The firm operates through the Australia and New Zealand, and United States geographical segments. The company was founded in 1920 and is headquartered in Cremorne, Australia.</t>
        </is>
      </c>
      <c r="AC96" s="8" t="inlineStr">
        <is>
          <t>Equipment and Supplies Distributors</t>
        </is>
      </c>
      <c r="AD96" s="8" t="inlineStr">
        <is>
          <t>Diversified Industrials Distribution</t>
        </is>
      </c>
      <c r="AE96" s="8" t="inlineStr">
        <is>
          <t>Industrial Services</t>
        </is>
      </c>
      <c r="AF96" s="12" t="inlineStr">
        <is>
          <t>Hardware, Plumbing, Heating Supplies Distributors</t>
        </is>
      </c>
      <c r="AH96" t="n">
        <v>39623</v>
      </c>
      <c r="AI96" t="n">
        <v>1</v>
      </c>
      <c r="AJ96" t="inlineStr">
        <is>
          <t>(baseline)
Scope 1 39,623 39,891 36,567 36,238
Scope 2 market-based 24,373 25,695 27,216 27,865</t>
        </is>
      </c>
      <c r="AK96" t="n">
        <v>26299</v>
      </c>
      <c r="AL96" t="n">
        <v>1</v>
      </c>
      <c r="AM96" t="inlineStr">
        <is>
          <t>4.8 Reducing our carbon footprint
In FY24, the Group’s Scope 1 and 2 greenhouse gas emissions were 63,996 tonnes of carbon dioxide equivalent (tCO2e-),
calculated on market-based methodology to reflect our use of renewable energy. This represents a 2.4% decrease on FY23,</t>
        </is>
      </c>
      <c r="AN96" t="n">
        <v>0</v>
      </c>
      <c r="AQ96" t="n">
        <v>3</v>
      </c>
      <c r="AR96" t="n">
        <v>0.0353</v>
      </c>
      <c r="AS96" t="n">
        <v>0.000334</v>
      </c>
    </row>
    <row r="97" ht="15" customHeight="1">
      <c r="A97" s="8" t="inlineStr">
        <is>
          <t>GWA-AU</t>
        </is>
      </c>
      <c r="B97" s="8" t="inlineStr">
        <is>
          <t>GWA Group Ltd.</t>
        </is>
      </c>
      <c r="C97" s="8" t="n"/>
      <c r="D97" s="8" t="n"/>
      <c r="E97" s="8" t="n"/>
      <c r="F97" s="8" t="n"/>
      <c r="G97" s="8" t="n"/>
      <c r="H97" s="8" t="n"/>
      <c r="I97" s="8" t="n"/>
      <c r="J97" s="8" t="n"/>
      <c r="K97" s="8" t="n"/>
      <c r="L97" s="8" t="n"/>
      <c r="M97" s="8" t="n"/>
      <c r="N97" s="17" t="n"/>
      <c r="O97" s="17" t="n"/>
      <c r="P97" s="17" t="n"/>
      <c r="Q97" s="17" t="n"/>
      <c r="R97" s="10">
        <f>IFERROR(_xlfn.XLOOKUP($A97,Profitability!$A$5:$A$342,Profitability!$Q$5:$Q$342),"na")</f>
        <v/>
      </c>
      <c r="S97" s="10">
        <f>IFERROR(_xlfn.XLOOKUP($A97,Profitability!$A$5:$A$342,Profitability!$R$5:$R$342),"na")</f>
        <v/>
      </c>
      <c r="T97" s="8" t="inlineStr">
        <is>
          <t>Public</t>
        </is>
      </c>
      <c r="U97" s="8" t="inlineStr">
        <is>
          <t>Australia</t>
        </is>
      </c>
      <c r="V97" s="9" t="n">
        <v>1992</v>
      </c>
      <c r="W97" s="10" t="inlineStr">
        <is>
          <t>-</t>
        </is>
      </c>
      <c r="X97" s="11" t="n">
        <v>418.475</v>
      </c>
      <c r="Y97" s="8" t="inlineStr">
        <is>
          <t>Pacific</t>
        </is>
      </c>
      <c r="Z97" s="8" t="inlineStr">
        <is>
          <t>New South Wales (NSW)</t>
        </is>
      </c>
      <c r="AA97" s="11" t="n">
        <v>670.24801651928</v>
      </c>
      <c r="AB97" s="8" t="inlineStr">
        <is>
          <t>GWA Group Ltd. engages in the the delivery of sustainable water solutions for bathrooms, kitchens, and laundries. It operates through the Australia, New Zealand, and Other geographical segments. The company was founded in 1989 and headquartered in Pinkenba, Australia.</t>
        </is>
      </c>
      <c r="AC97" s="8" t="inlineStr">
        <is>
          <t>Small Appliances and Accessories Manufacturing</t>
        </is>
      </c>
      <c r="AD97" s="8" t="inlineStr">
        <is>
          <t>Household Appliances and Tools</t>
        </is>
      </c>
      <c r="AE97" s="8" t="inlineStr">
        <is>
          <t>Household Products</t>
        </is>
      </c>
      <c r="AF97" s="12" t="inlineStr">
        <is>
          <t>Plumbing Fixtures and Trim Manufacturing</t>
        </is>
      </c>
      <c r="AH97" t="n">
        <v>321</v>
      </c>
      <c r="AI97" t="n">
        <v>0.9</v>
      </c>
      <c r="AJ97" t="inlineStr">
        <is>
          <t>GWA’s approach is grounded in data-driven,,,,,,
"monitoring of Scope 1 and Scope 2 emissions,",,,,,,
and laying the groundwork to review and,,,,,,</t>
        </is>
      </c>
      <c r="AK97" t="n">
        <v>1064</v>
      </c>
      <c r="AL97" t="n">
        <v>0.9</v>
      </c>
      <c r="AM97" t="inlineStr">
        <is>
          <t>,,,,,CO2e,,
China,Tonnes,0,0,,,,
,,,,New Zealand,Tonnes,37,32</t>
        </is>
      </c>
      <c r="AN97" t="n">
        <v>0</v>
      </c>
      <c r="AQ97" t="n">
        <v>0</v>
      </c>
      <c r="AR97" t="n">
        <v>0.103657</v>
      </c>
      <c r="AS97" t="n">
        <v>0</v>
      </c>
    </row>
    <row r="98" ht="15" customHeight="1">
      <c r="A98" s="8" t="inlineStr">
        <is>
          <t>NUF-AU</t>
        </is>
      </c>
      <c r="B98" s="8" t="inlineStr">
        <is>
          <t>Nufarm Ltd.</t>
        </is>
      </c>
      <c r="C98" s="8" t="n"/>
      <c r="D98" s="8" t="n"/>
      <c r="E98" s="8" t="n"/>
      <c r="F98" s="8" t="n"/>
      <c r="G98" s="8" t="n"/>
      <c r="H98" s="8" t="n"/>
      <c r="I98" s="8" t="n"/>
      <c r="J98" s="8" t="n"/>
      <c r="K98" s="8" t="n"/>
      <c r="L98" s="8" t="n"/>
      <c r="M98" s="8" t="n"/>
      <c r="N98" s="17" t="n"/>
      <c r="O98" s="17" t="n"/>
      <c r="P98" s="17" t="n"/>
      <c r="Q98" s="17" t="n"/>
      <c r="R98" s="10">
        <f>IFERROR(_xlfn.XLOOKUP($A98,Profitability!$A$5:$A$342,Profitability!$Q$5:$Q$342),"na")</f>
        <v/>
      </c>
      <c r="S98" s="10">
        <f>IFERROR(_xlfn.XLOOKUP($A98,Profitability!$A$5:$A$342,Profitability!$R$5:$R$342),"na")</f>
        <v/>
      </c>
      <c r="T98" s="8" t="inlineStr">
        <is>
          <t>Public</t>
        </is>
      </c>
      <c r="U98" s="8" t="inlineStr">
        <is>
          <t>Australia</t>
        </is>
      </c>
      <c r="V98" s="9" t="n">
        <v>2000</v>
      </c>
      <c r="W98" s="10" t="n">
        <v>3159</v>
      </c>
      <c r="X98" s="11" t="n">
        <v>3345.90899999999</v>
      </c>
      <c r="Y98" s="8" t="inlineStr">
        <is>
          <t>Pacific</t>
        </is>
      </c>
      <c r="Z98" s="8" t="inlineStr">
        <is>
          <t>Victoria (VIC)</t>
        </is>
      </c>
      <c r="AA98" s="11" t="n">
        <v>4498.10707708106</v>
      </c>
      <c r="AB98" s="8" t="inlineStr">
        <is>
          <t>Nufarm Ltd. engages in the provision of manufacture and sale of crop protection products. It operates through the Crop Protection and Seed Technologies segments. The Crop Protection segment deals with the manufacture and sale of crop protection products used by farmers to protect crops from damage caused by weeds, pests, and disease. The Seed Technologies segment sells seeds and treatment products. The company was founded by Maxwell A. Fremder on May 21, 1957 and is headquartered in Melbourne, Australia.</t>
        </is>
      </c>
      <c r="AC98" s="8" t="inlineStr">
        <is>
          <t>Agrochemical Products</t>
        </is>
      </c>
      <c r="AD98" s="8" t="inlineStr">
        <is>
          <t>Specialty and Performance Chemicals</t>
        </is>
      </c>
      <c r="AE98" s="8" t="inlineStr">
        <is>
          <t>Chemical, Plastic and Rubber Materials</t>
        </is>
      </c>
      <c r="AF98" s="12" t="inlineStr">
        <is>
          <t>General Agrochemicals Manufacturing</t>
        </is>
      </c>
      <c r="AH98" t="n">
        <v>38043</v>
      </c>
      <c r="AI98" t="n">
        <v>1</v>
      </c>
      <c r="AJ98" t="inlineStr">
        <is>
          <t>Other8,,,226,194,85
Total scope 1 - direct emissions,"18,848","16,951","17,039","38,049","38,043"
Scope 2 – energy indirect emissions,,,,,</t>
        </is>
      </c>
      <c r="AK98" t="n">
        <v>18628</v>
      </c>
      <c r="AL98" t="n">
        <v>1</v>
      </c>
      <c r="AM98" t="inlineStr">
        <is>
          <t>Purchased electricity,,,"45,914","32,251","16,824"
Total Scope 2 – energy indirect emissions,"75,070","70,430","64,485","37,760","18,628"</t>
        </is>
      </c>
      <c r="AN98" t="n">
        <v>0</v>
      </c>
      <c r="AQ98" t="n">
        <v>0</v>
      </c>
      <c r="AR98" t="n">
        <v>-0.001673</v>
      </c>
      <c r="AS98" t="n">
        <v>0</v>
      </c>
    </row>
    <row r="99" ht="15" customHeight="1">
      <c r="A99" s="8" t="inlineStr">
        <is>
          <t>SGM-AU</t>
        </is>
      </c>
      <c r="B99" s="8" t="inlineStr">
        <is>
          <t>Sims Ltd.</t>
        </is>
      </c>
      <c r="C99" s="8" t="n"/>
      <c r="D99" s="8" t="n"/>
      <c r="E99" s="8" t="n"/>
      <c r="F99" s="8" t="n"/>
      <c r="G99" s="8" t="n"/>
      <c r="H99" s="8" t="n"/>
      <c r="I99" s="8" t="n"/>
      <c r="J99" s="8" t="n"/>
      <c r="K99" s="8" t="n"/>
      <c r="L99" s="8" t="n"/>
      <c r="M99" s="8" t="n"/>
      <c r="N99" s="17" t="n"/>
      <c r="O99" s="17" t="n"/>
      <c r="P99" s="17" t="n"/>
      <c r="Q99" s="17" t="n"/>
      <c r="R99" s="10">
        <f>IFERROR(_xlfn.XLOOKUP($A99,Profitability!$A$5:$A$342,Profitability!$Q$5:$Q$342),"na")</f>
        <v/>
      </c>
      <c r="S99" s="10">
        <f>IFERROR(_xlfn.XLOOKUP($A99,Profitability!$A$5:$A$342,Profitability!$R$5:$R$342),"na")</f>
        <v/>
      </c>
      <c r="T99" s="8" t="inlineStr">
        <is>
          <t>Public</t>
        </is>
      </c>
      <c r="U99" s="8" t="inlineStr">
        <is>
          <t>Australia</t>
        </is>
      </c>
      <c r="V99" s="9" t="n">
        <v>2005</v>
      </c>
      <c r="W99" s="10" t="n">
        <v>3916</v>
      </c>
      <c r="X99" s="11" t="n">
        <v>7494</v>
      </c>
      <c r="Y99" s="8" t="inlineStr">
        <is>
          <t>Pacific</t>
        </is>
      </c>
      <c r="Z99" s="8" t="inlineStr">
        <is>
          <t>New South Wales (NSW)</t>
        </is>
      </c>
      <c r="AA99" s="11" t="n">
        <v>4446.10010958089</v>
      </c>
      <c r="AB99" s="8" t="inlineStr">
        <is>
          <t>Sims Ltd. engages in the recycling of metal and electronics. It operates through the following segments: North America Metals (NAM), Australia, New Zealand Metals (ANZ), UK Metal (UK), Global Trading, Investment in SA Recycling (SAR), Sims Lifecycle Services (SLS), and Unallocated. The NAM segment consists of subsidiaries and joint ventures in the U.S. and Canada, which perform ferrous and non-ferrous secondary recycling functions. The ANZ segment includes subsidiaries and joint arrangements in Australia, New Zealand, and Papua New Guinea, which perform ferrous and non-ferrous secondary recycling functions. The UK segment consists of subsidiaries in the United Kingdom, which perform ferrous and non-ferrous secondary recycling functions. The Global Trading segment consists of the group’s ferrous and non-ferrous marketing subsidiaries that coordinate sales of ferrous bulk cargo shipments, non-ferrous sales into primarily China and Southeast Asia, and brokerage sales on behalf of third and related parties. The SAR segment consists of the group’s share of results from its investment in the SA Recycling joint venture. The SLS segment consists of subsidiaries, which provide electronic recycling solutions in the following countries: Australia, Germany, India, Ireland, Netherlands, New Zealand, Poland, Singapore, the United Kingdom, and the United States of America. The Unallocated segment contains unallocated corporate costs, interests in a joint venture in Australia, Sims Municipal Recycling, and Global Sustainability Insurance Corporation. The company was founded by Albert George Sims in 1917 and is headquartered in Mascot, Australia.</t>
        </is>
      </c>
      <c r="AC99" s="8" t="inlineStr">
        <is>
          <t>Primary Metals Products</t>
        </is>
      </c>
      <c r="AD99" s="8" t="inlineStr">
        <is>
          <t>Metal Products</t>
        </is>
      </c>
      <c r="AE99" s="8" t="inlineStr">
        <is>
          <t>Mining and Mineral Products</t>
        </is>
      </c>
      <c r="AF99" s="12" t="inlineStr">
        <is>
          <t>Metal Processing and Recycling Services</t>
        </is>
      </c>
      <c r="AH99" t="n">
        <v>75000</v>
      </c>
      <c r="AJ99" t="inlineStr">
        <is>
          <t>FY25 Total Scope 1 emissions (75.0 kt CO₂e).</t>
        </is>
      </c>
      <c r="AK99" t="n">
        <v>0</v>
      </c>
      <c r="AM99" t="inlineStr">
        <is>
          <t>FY25 Total Scope 2 emissions (Market-based) (0.0 kt CO₂e). Zero emissions achieved by procuring 100% renewable energy.</t>
        </is>
      </c>
      <c r="AN99" t="n">
        <v>5098300</v>
      </c>
      <c r="AP99" t="inlineStr">
        <is>
          <t>FY25 Total Scope 3 emissions (5,098.3 kt CO₂e).</t>
        </is>
      </c>
      <c r="AR99" t="n">
        <v>0.00032</v>
      </c>
    </row>
    <row r="100" ht="15" customHeight="1">
      <c r="A100" s="8" t="inlineStr">
        <is>
          <t>APA-AU</t>
        </is>
      </c>
      <c r="B100" s="8" t="inlineStr">
        <is>
          <t>APA Group</t>
        </is>
      </c>
      <c r="C100" s="8" t="n"/>
      <c r="D100" s="8" t="n"/>
      <c r="E100" s="8" t="n"/>
      <c r="F100" s="8" t="n"/>
      <c r="G100" s="8" t="n"/>
      <c r="H100" s="8" t="n"/>
      <c r="I100" s="8" t="n"/>
      <c r="J100" s="8" t="n"/>
      <c r="K100" s="8" t="n"/>
      <c r="L100" s="8" t="n"/>
      <c r="M100" s="8" t="n"/>
      <c r="N100" s="17" t="n"/>
      <c r="O100" s="17" t="n"/>
      <c r="P100" s="17" t="n"/>
      <c r="Q100" s="17" t="n"/>
      <c r="R100" s="10">
        <f>IFERROR(_xlfn.XLOOKUP($A100,Profitability!$A$5:$A$342,Profitability!$Q$5:$Q$342),"na")</f>
        <v/>
      </c>
      <c r="S100" s="10">
        <f>IFERROR(_xlfn.XLOOKUP($A100,Profitability!$A$5:$A$342,Profitability!$R$5:$R$342),"na")</f>
        <v/>
      </c>
      <c r="T100" s="8" t="inlineStr">
        <is>
          <t>Public</t>
        </is>
      </c>
      <c r="U100" s="8" t="inlineStr">
        <is>
          <t>Australia</t>
        </is>
      </c>
      <c r="V100" s="9" t="n">
        <v>2000</v>
      </c>
      <c r="W100" s="10" t="n">
        <v>2164</v>
      </c>
      <c r="X100" s="11" t="n">
        <v>3143.99999999999</v>
      </c>
      <c r="Y100" s="8" t="inlineStr">
        <is>
          <t>Pacific</t>
        </is>
      </c>
      <c r="Z100" s="8" t="inlineStr">
        <is>
          <t>New South Wales (NSW)</t>
        </is>
      </c>
      <c r="AA100" s="11" t="n">
        <v>20514.0005055986</v>
      </c>
      <c r="AB100" s="8" t="inlineStr">
        <is>
          <t>APA Group engages in the business of owning, managing, and operating diverse portfolios of gas, electricity, solar, and wind assets. It operates through the following segments: Energy Infrastructure, Asset Management, Energy Investments, and Other. The Energy Infrastructure segment includes infrastructure assets across gas transmission, compression, processing, storage and electricity generation, and transmission. The Asset Management segment provides asset management and operating services for third parties and the majority of energy investments. The Energy Investments segment focuses on energy infrastructure investments. The company was founded in June 2000 and is headquartered in Sydney, Australia.</t>
        </is>
      </c>
      <c r="AC100" s="8" t="inlineStr">
        <is>
          <t>Natural Gas Pipeline and Storage Services</t>
        </is>
      </c>
      <c r="AD100" s="8" t="inlineStr">
        <is>
          <t>Midstream Energy</t>
        </is>
      </c>
      <c r="AE100" s="8" t="inlineStr">
        <is>
          <t>Downstream and Midstream Energy</t>
        </is>
      </c>
      <c r="AF100" s="12" t="inlineStr">
        <is>
          <t>International Natural Gas Pipeline and Storage</t>
        </is>
      </c>
      <c r="AH100" t="n">
        <v>1862659</v>
      </c>
      <c r="AI100" t="n">
        <v>1</v>
      </c>
      <c r="AJ100" t="inlineStr">
        <is>
          <t>Scope 1,,305-1,t CO2-e,"1,862,659","1,905,327","1,379,338","1,492,977","1,429,979"</t>
        </is>
      </c>
      <c r="AK100" t="n">
        <v>139281</v>
      </c>
      <c r="AL100" t="n">
        <v>1</v>
      </c>
      <c r="AM100" t="inlineStr">
        <is>
          <t>Scope 2 (market method) - line loss,,,t CO2-e,"139,281","129,718","137,643","76,737","68,264"</t>
        </is>
      </c>
      <c r="AN100" t="n">
        <v>636284</v>
      </c>
      <c r="AO100" t="n">
        <v>1</v>
      </c>
      <c r="AP100" t="inlineStr">
        <is>
          <t>Total Upsteam and Downstream (net),,305-3,t CO2-e,"629,401","656,841","809,638","853,473","771,671","708,901"</t>
        </is>
      </c>
      <c r="AQ100" t="n">
        <v>3</v>
      </c>
      <c r="AR100" t="n">
        <v>0.031489</v>
      </c>
      <c r="AS100" t="n">
        <v>0.000954</v>
      </c>
    </row>
    <row r="101" ht="15" customHeight="1">
      <c r="A101" s="8" t="inlineStr">
        <is>
          <t>GNC-AU</t>
        </is>
      </c>
      <c r="B101" s="8" t="inlineStr">
        <is>
          <t>GrainCorp Ltd.</t>
        </is>
      </c>
      <c r="C101" s="8" t="n"/>
      <c r="D101" s="8" t="n"/>
      <c r="E101" s="8" t="n"/>
      <c r="F101" s="8" t="n"/>
      <c r="G101" s="8" t="n"/>
      <c r="H101" s="8" t="n"/>
      <c r="I101" s="8" t="n"/>
      <c r="J101" s="8" t="n"/>
      <c r="K101" s="8" t="n"/>
      <c r="L101" s="8" t="n"/>
      <c r="M101" s="8" t="n"/>
      <c r="N101" s="17" t="n"/>
      <c r="O101" s="17" t="n"/>
      <c r="P101" s="17" t="n"/>
      <c r="Q101" s="17" t="n"/>
      <c r="R101" s="10">
        <f>IFERROR(_xlfn.XLOOKUP($A101,Profitability!$A$5:$A$342,Profitability!$Q$5:$Q$342),"na")</f>
        <v/>
      </c>
      <c r="S101" s="10">
        <f>IFERROR(_xlfn.XLOOKUP($A101,Profitability!$A$5:$A$342,Profitability!$R$5:$R$342),"na")</f>
        <v/>
      </c>
      <c r="T101" s="8" t="inlineStr">
        <is>
          <t>Public</t>
        </is>
      </c>
      <c r="U101" s="8" t="inlineStr">
        <is>
          <t>Australia</t>
        </is>
      </c>
      <c r="V101" s="9" t="n">
        <v>1992</v>
      </c>
      <c r="W101" s="10" t="inlineStr">
        <is>
          <t>-</t>
        </is>
      </c>
      <c r="X101" s="11" t="n">
        <v>6490.49999999999</v>
      </c>
      <c r="Y101" s="8" t="inlineStr">
        <is>
          <t>Pacific</t>
        </is>
      </c>
      <c r="Z101" s="8" t="inlineStr">
        <is>
          <t>New South Wales (NSW)</t>
        </is>
      </c>
      <c r="AA101" s="11" t="n">
        <v>2916.10004997126</v>
      </c>
      <c r="AB101" s="8" t="inlineStr">
        <is>
          <t>GrainCorp Ltd. is a food ingredients and agribusiness company. The firm's activities include supply chain, origination and processing. It operates through the Agribusiness and Processing segments. The Agribusiness segment supplies grains and oils including wheat, coarse grains, oilseeds, pulses, organics, animal fats, used cooking oils, and vegetable oils for animal feed purposes. The Processing segment focuses in the crushing, processing, manufacturing, and distribution of edible oil. The company was founded in 1916 and is headquartered in Sydney, Australia.</t>
        </is>
      </c>
      <c r="AC101" s="8" t="inlineStr">
        <is>
          <t>Agricultural Support Activity Providers</t>
        </is>
      </c>
      <c r="AD101" s="8" t="inlineStr">
        <is>
          <t>Agriculture</t>
        </is>
      </c>
      <c r="AE101" s="8" t="inlineStr">
        <is>
          <t>Food and Tobacco Production</t>
        </is>
      </c>
      <c r="AF101" s="12" t="inlineStr">
        <is>
          <t>Other Agricultural Support Activity Providers</t>
        </is>
      </c>
      <c r="AH101" t="n">
        <v>54546</v>
      </c>
      <c r="AI101" t="n">
        <v>1</v>
      </c>
      <c r="AJ101">
        <f>== Table 3 (page 17) ===
,FY21,,"0
FY21","53,363</f>
        <v/>
      </c>
      <c r="AK101" t="n">
        <v>60086</v>
      </c>
      <c r="AL101" t="n">
        <v>1</v>
      </c>
      <c r="AM101">
        <f>== Table 3 (page 17) ===
,FY21,,"0
FY21","53,363</f>
        <v/>
      </c>
      <c r="AN101" t="n">
        <v>0</v>
      </c>
      <c r="AQ101" t="n">
        <v>4</v>
      </c>
      <c r="AR101" t="n">
        <v>0.009521999999999999</v>
      </c>
      <c r="AS101" t="n">
        <v>0.000616</v>
      </c>
    </row>
    <row r="102" ht="15" customHeight="1">
      <c r="A102" s="8" t="inlineStr">
        <is>
          <t>BOQ-AU</t>
        </is>
      </c>
      <c r="B102" s="8" t="inlineStr">
        <is>
          <t>Bank of Queensland Ltd.</t>
        </is>
      </c>
      <c r="C102" s="8" t="n"/>
      <c r="D102" s="8" t="inlineStr">
        <is>
          <t>Vishal</t>
        </is>
      </c>
      <c r="E102" s="8" t="inlineStr">
        <is>
          <t>Bernardo Tobias</t>
        </is>
      </c>
      <c r="F102" s="8" t="inlineStr">
        <is>
          <t>Request message sent</t>
        </is>
      </c>
      <c r="G102" s="8" t="n"/>
      <c r="H102" s="8" t="n"/>
      <c r="I102" s="8" t="n"/>
      <c r="J102" s="8" t="n"/>
      <c r="K102" s="8" t="n"/>
      <c r="L102" s="8" t="n"/>
      <c r="M102" s="8" t="n"/>
      <c r="N102" s="17" t="n"/>
      <c r="O102" s="17" t="n"/>
      <c r="P102" s="17" t="n"/>
      <c r="Q102" s="17" t="n"/>
      <c r="R102" s="10">
        <f>IFERROR(_xlfn.XLOOKUP($A102,Profitability!$A$5:$A$342,Profitability!$Q$5:$Q$342),"na")</f>
        <v/>
      </c>
      <c r="S102" s="10">
        <f>IFERROR(_xlfn.XLOOKUP($A102,Profitability!$A$5:$A$342,Profitability!$R$5:$R$342),"na")</f>
        <v/>
      </c>
      <c r="T102" s="8" t="inlineStr">
        <is>
          <t>Public</t>
        </is>
      </c>
      <c r="U102" s="8" t="inlineStr">
        <is>
          <t>Australia</t>
        </is>
      </c>
      <c r="V102" s="9" t="n">
        <v>1887</v>
      </c>
      <c r="W102" s="10" t="n">
        <v>3248</v>
      </c>
      <c r="X102" s="11" t="n">
        <v>5083.99999999999</v>
      </c>
      <c r="Y102" s="8" t="inlineStr">
        <is>
          <t>Pacific</t>
        </is>
      </c>
      <c r="Z102" s="8" t="inlineStr">
        <is>
          <t>Queensland (QLD)</t>
        </is>
      </c>
      <c r="AA102" s="11" t="n">
        <v>103039.996456261</v>
      </c>
      <c r="AB102" s="8" t="inlineStr">
        <is>
          <t>Bank of Queensland Ltd. engages in the provision of financial services to the community. It operates through the following segments: Retail Banking, BOQ Business, and Other. The Retail Banking segment offers retail banking solutions to customers managed through its owner managed and corporate branch network, ME Bank and Virgin Money distribution channels, and third-party intermediaries. The BOQ Business segment is involved in the BOQ branded commercial lending activity, BOQ Finance, and BOQ Specialist businesses. It also provides tailored business banking solutions including commercial lending, equipment finance and leasing, cash flow finance, foreign exchange, interest rate hedging, transaction banking, and deposit solutions for commercial customers. The Other segment refers to the treasury, insurance, and group head office. The company was founded in 1874 and is headquartered in Newstead, Australia.</t>
        </is>
      </c>
      <c r="AC102" s="8" t="inlineStr">
        <is>
          <t>Asia/Pacific Banks</t>
        </is>
      </c>
      <c r="AD102" s="8" t="inlineStr">
        <is>
          <t>International Banks</t>
        </is>
      </c>
      <c r="AE102" s="8" t="inlineStr">
        <is>
          <t>Banking</t>
        </is>
      </c>
      <c r="AF102" s="12" t="inlineStr">
        <is>
          <t>Australia and New Zealand Banks</t>
        </is>
      </c>
      <c r="AR102" t="n">
        <v>0.026161</v>
      </c>
    </row>
    <row r="103" ht="15" customHeight="1">
      <c r="A103" s="8" t="inlineStr">
        <is>
          <t>ALD-AU</t>
        </is>
      </c>
      <c r="B103" s="8" t="inlineStr">
        <is>
          <t>Ampol Ltd.</t>
        </is>
      </c>
      <c r="C103" s="8" t="n"/>
      <c r="D103" s="8" t="n"/>
      <c r="E103" s="8" t="n"/>
      <c r="F103" s="8" t="n"/>
      <c r="G103" s="8" t="n"/>
      <c r="H103" s="8" t="n"/>
      <c r="I103" s="8" t="n"/>
      <c r="J103" s="8" t="n"/>
      <c r="K103" s="8" t="n"/>
      <c r="L103" s="8" t="n"/>
      <c r="M103" s="8" t="n"/>
      <c r="N103" s="17" t="n"/>
      <c r="O103" s="17" t="n"/>
      <c r="P103" s="10" t="n">
        <v>725761</v>
      </c>
      <c r="Q103" s="10" t="n">
        <v>215043</v>
      </c>
      <c r="R103" s="10">
        <f>IFERROR(_xlfn.XLOOKUP($A103,Profitability!$A$5:$A$342,Profitability!$Q$5:$Q$342),"na")</f>
        <v/>
      </c>
      <c r="S103" s="10">
        <f>IFERROR(_xlfn.XLOOKUP($A103,Profitability!$A$5:$A$342,Profitability!$R$5:$R$342),"na")</f>
        <v/>
      </c>
      <c r="T103" s="8" t="inlineStr">
        <is>
          <t>Public</t>
        </is>
      </c>
      <c r="U103" s="8" t="inlineStr">
        <is>
          <t>Australia</t>
        </is>
      </c>
      <c r="V103" s="9" t="n">
        <v>1918</v>
      </c>
      <c r="W103" s="10" t="n">
        <v>9600</v>
      </c>
      <c r="X103" s="11" t="n">
        <v>34540.2</v>
      </c>
      <c r="Y103" s="8" t="inlineStr">
        <is>
          <t>Pacific</t>
        </is>
      </c>
      <c r="Z103" s="8" t="inlineStr">
        <is>
          <t>New South Wales (NSW)</t>
        </is>
      </c>
      <c r="AA103" s="11" t="n">
        <v>13327.4995866041</v>
      </c>
      <c r="AB103" s="8" t="inlineStr">
        <is>
          <t>Ampol Ltd. engages in the supply of transport fuels. It offers business services, fuel cards, lubricants and oil finder. The firm operates through the following segments: Fuels and Infrastructure, Convenience Retail, Z Energy, and Corporate. The Fuel and Infrastructure segment includes Lytton refining, bulk fuels sales, trading and shipping, infrastructure, future energy, and seaoil business. The Convenience Retail segment covers fuels and shop offerings at the company's Australian network of stores. The Z Energy deals with fuel offerings in New Zealand market. The Corporate segment represents the head office and transactions related to finance, taxation, treasury, HR, IT, legal. and secretarial functions. The company was founded in 1918 and is headquartered in Sydney, Australia.</t>
        </is>
      </c>
      <c r="AC103" s="8" t="inlineStr">
        <is>
          <t>Petroleum Refineries</t>
        </is>
      </c>
      <c r="AD103" s="8" t="inlineStr">
        <is>
          <t>Downstream Energy</t>
        </is>
      </c>
      <c r="AE103" s="8" t="inlineStr">
        <is>
          <t>Downstream and Midstream Energy</t>
        </is>
      </c>
      <c r="AF103" s="12" t="inlineStr">
        <is>
          <t>Asia/Pacific Petroleum Refineries</t>
        </is>
      </c>
      <c r="AH103" t="n">
        <v>725975</v>
      </c>
      <c r="AJ103" t="inlineStr">
        <is>
          <t>Total Group Scope 1 emissions (tCO2e) for 2024</t>
        </is>
      </c>
      <c r="AK103" t="n">
        <v>217452</v>
      </c>
      <c r="AM103" t="inlineStr">
        <is>
          <t>Total Group Scope 2 emissions (tCO2e) for 2024</t>
        </is>
      </c>
      <c r="AN103" t="n">
        <v>60745311</v>
      </c>
      <c r="AP103" t="inlineStr">
        <is>
          <t>Total Group Scope 3 emissions (tCO2e) for 2024</t>
        </is>
      </c>
      <c r="AR103" t="n">
        <v>0.003547</v>
      </c>
    </row>
    <row r="104" ht="15" customHeight="1">
      <c r="A104" s="8" t="inlineStr">
        <is>
          <t>BPT-AU</t>
        </is>
      </c>
      <c r="B104" s="8" t="inlineStr">
        <is>
          <t>Beach Energy Ltd.</t>
        </is>
      </c>
      <c r="C104" s="8" t="n"/>
      <c r="D104" s="8" t="n"/>
      <c r="E104" s="8" t="n"/>
      <c r="F104" s="8" t="n"/>
      <c r="G104" s="8" t="n"/>
      <c r="H104" s="8" t="n"/>
      <c r="I104" s="8" t="n"/>
      <c r="J104" s="8" t="n"/>
      <c r="K104" s="8" t="n"/>
      <c r="L104" s="8" t="n"/>
      <c r="M104" s="8" t="n"/>
      <c r="N104" s="17" t="n"/>
      <c r="O104" s="17" t="n"/>
      <c r="P104" s="10" t="n">
        <v>451348</v>
      </c>
      <c r="Q104" s="10" t="n">
        <v>17726</v>
      </c>
      <c r="R104" s="10">
        <f>IFERROR(_xlfn.XLOOKUP($A104,Profitability!$A$5:$A$342,Profitability!$Q$5:$Q$342),"na")</f>
        <v/>
      </c>
      <c r="S104" s="10">
        <f>IFERROR(_xlfn.XLOOKUP($A104,Profitability!$A$5:$A$342,Profitability!$R$5:$R$342),"na")</f>
        <v/>
      </c>
      <c r="T104" s="8" t="inlineStr">
        <is>
          <t>Public</t>
        </is>
      </c>
      <c r="U104" s="8" t="inlineStr">
        <is>
          <t>Australia</t>
        </is>
      </c>
      <c r="V104" s="9" t="n">
        <v>1961</v>
      </c>
      <c r="W104" s="10" t="n">
        <v>455</v>
      </c>
      <c r="X104" s="11" t="n">
        <v>2105.99999999999</v>
      </c>
      <c r="Y104" s="8" t="inlineStr">
        <is>
          <t>Pacific</t>
        </is>
      </c>
      <c r="Z104" s="8" t="inlineStr">
        <is>
          <t>South Australia (SA)</t>
        </is>
      </c>
      <c r="AA104" s="11" t="n">
        <v>5281.70013017551</v>
      </c>
      <c r="AB104" s="8" t="inlineStr">
        <is>
          <t>Beach Energy Ltd. engages in the exploration, development and production of hydrocarbons. It operates through following geographical segments: South Australia (SA), Western Australia (WA), Victoria, and New Zealand. The company was founded by Reg Sprigg in 1961 and is headquartered in Adelaide, Australia.</t>
        </is>
      </c>
      <c r="AC104" s="8" t="inlineStr">
        <is>
          <t>Other Fossil Fuel Exploration and Production</t>
        </is>
      </c>
      <c r="AD104" s="8" t="inlineStr">
        <is>
          <t>Fossil Fuel Exploration and Production</t>
        </is>
      </c>
      <c r="AE104" s="8" t="inlineStr">
        <is>
          <t>Upstream Energy</t>
        </is>
      </c>
      <c r="AF104" s="12" t="inlineStr">
        <is>
          <t>Asia/Pacific Fossil Fuel Exploration/Production</t>
        </is>
      </c>
      <c r="AH104" t="n">
        <v>626731</v>
      </c>
      <c r="AJ104" t="inlineStr">
        <is>
          <t>FY25 Scope 1 emissions (Australia: 537,493 tCO2e + New Zealand: 89,238 tCO2e)</t>
        </is>
      </c>
      <c r="AK104" t="n">
        <v>26432</v>
      </c>
      <c r="AM104" t="inlineStr">
        <is>
          <t>FY25 Scope 2 emissions (Australia: 21,194 tCO2e + New Zealand: 5,238 tCO2e)</t>
        </is>
      </c>
      <c r="AN104" t="n">
        <v>6380000</v>
      </c>
      <c r="AP104" t="inlineStr">
        <is>
          <t>FY25 Estimated Scope 3 emissions (6.38 MtCO2e)</t>
        </is>
      </c>
      <c r="AR104" t="n">
        <v>-0.020798</v>
      </c>
    </row>
    <row r="105" ht="15" customHeight="1">
      <c r="A105" s="8" t="inlineStr">
        <is>
          <t>HLS-AU</t>
        </is>
      </c>
      <c r="B105" s="8" t="inlineStr">
        <is>
          <t>Healius Ltd.</t>
        </is>
      </c>
      <c r="C105" s="8" t="n"/>
      <c r="D105" s="8" t="n"/>
      <c r="E105" s="8" t="n"/>
      <c r="F105" s="8" t="n"/>
      <c r="G105" s="8" t="n"/>
      <c r="H105" s="8" t="n"/>
      <c r="I105" s="8" t="n"/>
      <c r="J105" s="8" t="n"/>
      <c r="K105" s="8" t="n"/>
      <c r="L105" s="8" t="n"/>
      <c r="M105" s="8" t="n"/>
      <c r="N105" s="17" t="n"/>
      <c r="O105" s="17" t="n"/>
      <c r="P105" s="17" t="n"/>
      <c r="Q105" s="17" t="n"/>
      <c r="R105" s="10">
        <f>IFERROR(_xlfn.XLOOKUP($A105,Profitability!$A$5:$A$342,Profitability!$Q$5:$Q$342),"na")</f>
        <v/>
      </c>
      <c r="S105" s="10">
        <f>IFERROR(_xlfn.XLOOKUP($A105,Profitability!$A$5:$A$342,Profitability!$R$5:$R$342),"na")</f>
        <v/>
      </c>
      <c r="T105" s="8" t="inlineStr">
        <is>
          <t>Public</t>
        </is>
      </c>
      <c r="U105" s="8" t="inlineStr">
        <is>
          <t>Australia</t>
        </is>
      </c>
      <c r="V105" s="9" t="n">
        <v>1994</v>
      </c>
      <c r="W105" s="10" t="inlineStr">
        <is>
          <t>-</t>
        </is>
      </c>
      <c r="X105" s="11" t="n">
        <v>1344.19999999999</v>
      </c>
      <c r="Y105" s="8" t="inlineStr">
        <is>
          <t>Pacific</t>
        </is>
      </c>
      <c r="Z105" s="8" t="inlineStr">
        <is>
          <t>New South Wales (NSW)</t>
        </is>
      </c>
      <c r="AA105" s="11" t="n">
        <v>1777.00004379686</v>
      </c>
      <c r="AB105" s="8" t="inlineStr">
        <is>
          <t>Healius Ltd. engages in the provision of healthcare technology solutions. It operates through the following segments: Pathology, Imaging, and Other. The Pathology segment provides pathology services. The Imaging segment focuses on imaging services from stand-alone imaging sites, hospitals, and medical centers. The Other segment consists of corporate functions. The company was founded by Edmund Gregory Thomas Bateman in 1985 and is headquartered in St. Leonards, Australia.</t>
        </is>
      </c>
      <c r="AC105" s="8" t="inlineStr">
        <is>
          <t>Ambulatory and Outpatient Diagnostic Patient Care</t>
        </is>
      </c>
      <c r="AD105" s="8" t="inlineStr">
        <is>
          <t>Patient Care</t>
        </is>
      </c>
      <c r="AE105" s="8" t="inlineStr">
        <is>
          <t>Healthcare Services</t>
        </is>
      </c>
      <c r="AF105" s="12" t="inlineStr">
        <is>
          <t>Clinical Laboratory Patient Diagnostics</t>
        </is>
      </c>
      <c r="AH105" t="n">
        <v>5703</v>
      </c>
      <c r="AI105" t="n">
        <v>1</v>
      </c>
      <c r="AJ105" t="inlineStr">
        <is>
          <t>There has been no change to this risk management,
,"dioxide equivalent (tCO2-e), comprising 5,703 tCO2-e"
framework during the year.,</t>
        </is>
      </c>
      <c r="AK105" t="n">
        <v>30056</v>
      </c>
      <c r="AL105" t="n">
        <v>1</v>
      </c>
      <c r="AM105" t="inlineStr">
        <is>
          <t>framework during the year.,
,"as Scope 1 emissions and 30,056 tCO2-e as Scope 2"
The business has completed a focused review of climate,(location based)emissions.</t>
        </is>
      </c>
      <c r="AN105" t="n">
        <v>0</v>
      </c>
      <c r="AQ105" t="n">
        <v>0</v>
      </c>
      <c r="AR105" t="n">
        <v>-0.418836</v>
      </c>
      <c r="AS105" t="n">
        <v>0</v>
      </c>
    </row>
    <row r="106" ht="15" customHeight="1">
      <c r="A106" s="8" t="inlineStr">
        <is>
          <t>CGF-AU</t>
        </is>
      </c>
      <c r="B106" s="8" t="inlineStr">
        <is>
          <t>Challenger Ltd.</t>
        </is>
      </c>
      <c r="C106" s="8" t="n"/>
      <c r="D106" s="8" t="inlineStr">
        <is>
          <t>Vishal</t>
        </is>
      </c>
      <c r="E106" s="8" t="inlineStr">
        <is>
          <t>Ed Hyder</t>
        </is>
      </c>
      <c r="F106" s="8" t="inlineStr">
        <is>
          <t>Request message sent</t>
        </is>
      </c>
      <c r="G106" s="8" t="n"/>
      <c r="H106" s="8" t="n"/>
      <c r="I106" s="8" t="n"/>
      <c r="J106" s="8" t="n"/>
      <c r="K106" s="8" t="n"/>
      <c r="L106" s="8" t="n"/>
      <c r="M106" s="8" t="n"/>
      <c r="N106" s="17" t="n"/>
      <c r="O106" s="17" t="n"/>
      <c r="P106" s="17" t="n"/>
      <c r="Q106" s="17" t="n"/>
      <c r="R106" s="10">
        <f>IFERROR(_xlfn.XLOOKUP($A106,Profitability!$A$5:$A$342,Profitability!$Q$5:$Q$342),"na")</f>
        <v/>
      </c>
      <c r="S106" s="10">
        <f>IFERROR(_xlfn.XLOOKUP($A106,Profitability!$A$5:$A$342,Profitability!$R$5:$R$342),"na")</f>
        <v/>
      </c>
      <c r="T106" s="8" t="inlineStr">
        <is>
          <t>Public</t>
        </is>
      </c>
      <c r="U106" s="8" t="inlineStr">
        <is>
          <t>Australia</t>
        </is>
      </c>
      <c r="V106" s="9" t="n">
        <v>2003</v>
      </c>
      <c r="W106" s="10" t="n">
        <v>591</v>
      </c>
      <c r="X106" s="11" t="n">
        <v>3116.09999999999</v>
      </c>
      <c r="Y106" s="8" t="inlineStr">
        <is>
          <t>Pacific</t>
        </is>
      </c>
      <c r="Z106" s="8" t="inlineStr">
        <is>
          <t>New South Wales (NSW)</t>
        </is>
      </c>
      <c r="AA106" s="11" t="n">
        <v>34997.3008625616</v>
      </c>
      <c r="AB106" s="8" t="inlineStr">
        <is>
          <t>Challenger Ltd. operates as an investment management firm, which engages in the provision of financial services. It focuses on providing financial security in retirement. The company operates through the following two segments: Life and Funds Management. The Life segment provides annuity and guaranteed retirement income products Accurium Pty Limited, a provider of self managed superannuation fund actuarial certificates. The Funds Management segment focuses on the retirement savings phase of Australia’s superannuation system by providing products seeking to deliver superior investment returns. The company was founded in 1985 and is headquartered in Sydney, Australia.</t>
        </is>
      </c>
      <c r="AC106" s="8" t="inlineStr">
        <is>
          <t>Life and Health Insurance</t>
        </is>
      </c>
      <c r="AD106" s="8" t="inlineStr">
        <is>
          <t>Insurance</t>
        </is>
      </c>
      <c r="AE106" s="8" t="inlineStr">
        <is>
          <t>Insurance</t>
        </is>
      </c>
      <c r="AF106" s="12" t="inlineStr">
        <is>
          <t>Life and Health Insurance</t>
        </is>
      </c>
      <c r="AH106" t="n">
        <v>3</v>
      </c>
      <c r="AI106" t="n">
        <v>1</v>
      </c>
      <c r="AJ106" t="inlineStr">
        <is>
          <t>,transparency in our reporting approach.
"Scope 1, 2 and 3 operational emissions – measurement",
,Our methodology will continue to evolve in line with emerging</t>
        </is>
      </c>
      <c r="AK106" t="n">
        <v>6</v>
      </c>
      <c r="AL106" t="n">
        <v>1</v>
      </c>
      <c r="AM106" t="inlineStr">
        <is>
          <t>Total Scope 2,,,5.7,,603.3</t>
        </is>
      </c>
      <c r="AN106" t="n">
        <v>10254</v>
      </c>
      <c r="AO106" t="n">
        <v>1</v>
      </c>
      <c r="AP106" t="inlineStr">
        <is>
          <t>Total Scope 3,,,"10,253.8",,"9,700.1"</t>
        </is>
      </c>
      <c r="AQ106" t="n">
        <v>8</v>
      </c>
      <c r="AR106" t="n">
        <v>0.061712</v>
      </c>
      <c r="AS106" t="n">
        <v>0.002567</v>
      </c>
    </row>
    <row r="107" ht="15" customHeight="1">
      <c r="A107" s="8" t="inlineStr">
        <is>
          <t>RIC-AU</t>
        </is>
      </c>
      <c r="B107" s="8" t="inlineStr">
        <is>
          <t>Ridley Corp. Ltd.</t>
        </is>
      </c>
      <c r="C107" s="8" t="n"/>
      <c r="D107" s="8" t="n"/>
      <c r="E107" s="8" t="n"/>
      <c r="F107" s="8" t="n"/>
      <c r="G107" s="8" t="n"/>
      <c r="H107" s="8" t="n"/>
      <c r="I107" s="8" t="n"/>
      <c r="J107" s="8" t="n"/>
      <c r="K107" s="8" t="n"/>
      <c r="L107" s="8" t="n"/>
      <c r="M107" s="8" t="n"/>
      <c r="N107" s="17" t="n"/>
      <c r="O107" s="17" t="n"/>
      <c r="P107" s="10" t="n">
        <v>53824</v>
      </c>
      <c r="Q107" s="10" t="n">
        <v>49697</v>
      </c>
      <c r="R107" s="10">
        <f>IFERROR(_xlfn.XLOOKUP($A107,Profitability!$A$5:$A$342,Profitability!$Q$5:$Q$342),"na")</f>
        <v/>
      </c>
      <c r="S107" s="10">
        <f>IFERROR(_xlfn.XLOOKUP($A107,Profitability!$A$5:$A$342,Profitability!$R$5:$R$342),"na")</f>
        <v/>
      </c>
      <c r="T107" s="8" t="inlineStr">
        <is>
          <t>Public</t>
        </is>
      </c>
      <c r="U107" s="8" t="inlineStr">
        <is>
          <t>Australia</t>
        </is>
      </c>
      <c r="V107" s="9" t="n">
        <v>1987</v>
      </c>
      <c r="W107" s="10" t="n">
        <v>613</v>
      </c>
      <c r="X107" s="11" t="n">
        <v>1302.62399999999</v>
      </c>
      <c r="Y107" s="8" t="inlineStr">
        <is>
          <t>Pacific</t>
        </is>
      </c>
      <c r="Z107" s="8" t="inlineStr">
        <is>
          <t>Victoria (VIC)</t>
        </is>
      </c>
      <c r="AA107" s="11" t="n">
        <v>734.553018104175</v>
      </c>
      <c r="AB107" s="8" t="inlineStr">
        <is>
          <t>Ridley Corp. Ltd. engages in the production and market of stock feed and animal feed supplements. It operates through the Packaged and Ingredients, and Bulk Stockfeeds segments. The Packaged and Ingredients segment refers to the group's premium quality, high performance animal nutrition ingredient solutions delivered in packaged. The Bulk Stockfeeds segment pertains to the group's premium quality, high performance animal nutrition ingredient solutions delivered in bulk. The company was founded in 1987 and is headquartered in Melbourne, Australia.</t>
        </is>
      </c>
      <c r="AC107" s="8" t="inlineStr">
        <is>
          <t>Agricultural Support Activity Providers</t>
        </is>
      </c>
      <c r="AD107" s="8" t="inlineStr">
        <is>
          <t>Agriculture</t>
        </is>
      </c>
      <c r="AE107" s="8" t="inlineStr">
        <is>
          <t>Food and Tobacco Production</t>
        </is>
      </c>
      <c r="AF107" s="12" t="inlineStr">
        <is>
          <t>Other Agricultural Support Activity Providers</t>
        </is>
      </c>
      <c r="AH107" t="n">
        <v>57081</v>
      </c>
      <c r="AI107" t="n">
        <v>1</v>
      </c>
      <c r="AJ107" t="inlineStr">
        <is>
          <t>,,,charities and or community groups.,
,,,,contribution five-fold to 0.15%
,,,This represents approximately,of group EBITDA and continue</t>
        </is>
      </c>
      <c r="AK107" t="n">
        <v>50977</v>
      </c>
      <c r="AL107" t="n">
        <v>1</v>
      </c>
      <c r="AM107" t="inlineStr">
        <is>
          <t>,,,charities and or community groups.,
,,,,contribution five-fold to 0.15%
,,,This represents approximately,of group EBITDA and continue</t>
        </is>
      </c>
      <c r="AN107" t="n">
        <v>0</v>
      </c>
      <c r="AQ107" t="n">
        <v>0</v>
      </c>
      <c r="AR107" t="n">
        <v>0.033257</v>
      </c>
      <c r="AS107" t="n">
        <v>0</v>
      </c>
    </row>
    <row r="108" ht="15" customHeight="1">
      <c r="A108" s="8" t="inlineStr">
        <is>
          <t>EVT-AU</t>
        </is>
      </c>
      <c r="B108" s="8" t="inlineStr">
        <is>
          <t>EVT Ltd.</t>
        </is>
      </c>
      <c r="C108" s="8" t="n"/>
      <c r="D108" s="8" t="n"/>
      <c r="E108" s="8" t="n"/>
      <c r="F108" s="8" t="n"/>
      <c r="G108" s="8" t="n"/>
      <c r="H108" s="8" t="n"/>
      <c r="I108" s="8" t="n"/>
      <c r="J108" s="8" t="n"/>
      <c r="K108" s="8" t="n"/>
      <c r="L108" s="8" t="n"/>
      <c r="M108" s="8" t="n"/>
      <c r="N108" s="17" t="n"/>
      <c r="O108" s="17" t="n"/>
      <c r="P108" s="10" t="n">
        <v>11610</v>
      </c>
      <c r="Q108" s="10" t="n">
        <v>102398</v>
      </c>
      <c r="R108" s="10">
        <f>IFERROR(_xlfn.XLOOKUP($A108,Profitability!$A$5:$A$342,Profitability!$Q$5:$Q$342),"na")</f>
        <v/>
      </c>
      <c r="S108" s="10">
        <f>IFERROR(_xlfn.XLOOKUP($A108,Profitability!$A$5:$A$342,Profitability!$R$5:$R$342),"na")</f>
        <v/>
      </c>
      <c r="T108" s="8" t="inlineStr">
        <is>
          <t>Public</t>
        </is>
      </c>
      <c r="U108" s="8" t="inlineStr">
        <is>
          <t>Australia</t>
        </is>
      </c>
      <c r="V108" s="9" t="n">
        <v>1911</v>
      </c>
      <c r="W108" s="10" t="inlineStr">
        <is>
          <t>-</t>
        </is>
      </c>
      <c r="X108" s="11" t="n">
        <v>1221.59199999999</v>
      </c>
      <c r="Y108" s="8" t="inlineStr">
        <is>
          <t>Pacific</t>
        </is>
      </c>
      <c r="Z108" s="8" t="inlineStr">
        <is>
          <t>New South Wales (NSW)</t>
        </is>
      </c>
      <c r="AA108" s="11" t="n">
        <v>2900.84907149583</v>
      </c>
      <c r="AB108" s="8" t="inlineStr">
        <is>
          <t>EVT Ltd. operates as a holding company, which engages in the provision of entertainment, hospitality, and tourism services. It operates through the following segments: Entertainment, Entertainment Germany, Hotels and Resorts, Thredbo Alpine Resort, and Property and Other Information. The Entertainment segment includes cinema exhibition operations in Australia and New Zealand, technology equipment supplies and servicing, and the State Theatre. The Entertainment Germany segment refers to the cinema exhibition operations in Germany. The Hotels and Resorts segment is involved in ownership, operation and management of hotels in Australia and New Zealand. The Thredbo Alpine Resort segment pertains to all the operations of the resort, including property development activities. The Property and Other Investments segment is associated with property rental, investment properties and investments designated as at FVOCI. The company was founded in 1910, and is headquartered in Sydney, Australia.</t>
        </is>
      </c>
      <c r="AC108" s="8" t="inlineStr">
        <is>
          <t>Arts, Entertainment and Recreation Providers</t>
        </is>
      </c>
      <c r="AD108" s="8" t="inlineStr">
        <is>
          <t>Hospitality Services</t>
        </is>
      </c>
      <c r="AE108" s="8" t="inlineStr">
        <is>
          <t>Hospitality Services</t>
        </is>
      </c>
      <c r="AF108" s="12" t="inlineStr">
        <is>
          <t>Amusement and Recreation Centers</t>
        </is>
      </c>
      <c r="AH108" t="n">
        <v>18821</v>
      </c>
      <c r="AJ108" t="inlineStr">
        <is>
          <t>FY24 total Scope 1 emissions (sum of Natural gas: 15,321; Stationary fuels: 3,175; Transport fuels: 305; Other: 1 tCO2e).</t>
        </is>
      </c>
      <c r="AK108" t="n">
        <v>105217</v>
      </c>
      <c r="AM108" t="inlineStr">
        <is>
          <t>FY24 Scope 2 emissions (market-based) electricity (tCO2e).</t>
        </is>
      </c>
      <c r="AN108" t="n">
        <v>307344</v>
      </c>
      <c r="AP108" t="inlineStr">
        <is>
          <t>FY23 Scope 3 total estimate (tCO2e). FY24 estimate is in development.</t>
        </is>
      </c>
      <c r="AR108" t="n">
        <v>0.027336</v>
      </c>
    </row>
    <row r="109" ht="15" customHeight="1">
      <c r="A109" s="8" t="inlineStr">
        <is>
          <t>ERA-AU</t>
        </is>
      </c>
      <c r="B109" s="8" t="inlineStr">
        <is>
          <t>Energy Resources of Australia Ltd.</t>
        </is>
      </c>
      <c r="C109" s="8" t="n"/>
      <c r="D109" s="8" t="n"/>
      <c r="E109" s="8" t="n"/>
      <c r="F109" s="8" t="n"/>
      <c r="G109" s="8" t="n"/>
      <c r="H109" s="8" t="n"/>
      <c r="I109" s="8" t="n"/>
      <c r="J109" s="8" t="n"/>
      <c r="K109" s="8" t="n"/>
      <c r="L109" s="8" t="n"/>
      <c r="M109" s="8" t="n"/>
      <c r="N109" s="17" t="n"/>
      <c r="O109" s="17" t="n"/>
      <c r="P109" s="17" t="n"/>
      <c r="Q109" s="17" t="n"/>
      <c r="R109" s="10">
        <f>IFERROR(_xlfn.XLOOKUP($A109,Profitability!$A$5:$A$342,Profitability!$Q$5:$Q$342),"na")</f>
        <v/>
      </c>
      <c r="S109" s="10">
        <f>IFERROR(_xlfn.XLOOKUP($A109,Profitability!$A$5:$A$342,Profitability!$R$5:$R$342),"na")</f>
        <v/>
      </c>
      <c r="T109" s="8" t="inlineStr">
        <is>
          <t>Public</t>
        </is>
      </c>
      <c r="U109" s="8" t="inlineStr">
        <is>
          <t>Australia</t>
        </is>
      </c>
      <c r="V109" s="9" t="n">
        <v>1980</v>
      </c>
      <c r="W109" s="10" t="inlineStr">
        <is>
          <t>-</t>
        </is>
      </c>
      <c r="X109" s="11" t="n">
        <v>0</v>
      </c>
      <c r="Y109" s="8" t="inlineStr">
        <is>
          <t>Pacific</t>
        </is>
      </c>
      <c r="Z109" s="8" t="inlineStr">
        <is>
          <t>Northern Territory (NT)</t>
        </is>
      </c>
      <c r="AA109" s="11" t="n">
        <v>1345.08095827793</v>
      </c>
      <c r="AB109" s="8" t="inlineStr">
        <is>
          <t>Energy Resources of Australia Ltd. engages in the sale of uranium oxide and site rehabilitation. The company was founded on February 8, 1980, and is headquartered in Darwin, Australia.</t>
        </is>
      </c>
      <c r="AC109" s="8" t="inlineStr">
        <is>
          <t>Uranium Mining</t>
        </is>
      </c>
      <c r="AD109" s="8" t="inlineStr">
        <is>
          <t>Coal and Uranium Mining</t>
        </is>
      </c>
      <c r="AE109" s="8" t="inlineStr">
        <is>
          <t>Upstream Energy</t>
        </is>
      </c>
      <c r="AF109" s="12" t="inlineStr">
        <is>
          <t>Uranium Mining</t>
        </is>
      </c>
    </row>
    <row r="110" ht="15" customHeight="1">
      <c r="A110" s="8" t="inlineStr">
        <is>
          <t>ASB-AU</t>
        </is>
      </c>
      <c r="B110" s="8" t="inlineStr">
        <is>
          <t>Austal Ltd.</t>
        </is>
      </c>
      <c r="C110" s="8" t="n"/>
      <c r="D110" s="8" t="n"/>
      <c r="E110" s="8" t="n"/>
      <c r="F110" s="8" t="n"/>
      <c r="G110" s="8" t="n"/>
      <c r="H110" s="8" t="n"/>
      <c r="I110" s="8" t="n"/>
      <c r="J110" s="8" t="n"/>
      <c r="K110" s="8" t="n"/>
      <c r="L110" s="8" t="n"/>
      <c r="M110" s="8" t="n"/>
      <c r="N110" s="17" t="n"/>
      <c r="O110" s="17" t="n"/>
      <c r="P110" s="17" t="n"/>
      <c r="Q110" s="17" t="n"/>
      <c r="R110" s="10">
        <f>IFERROR(_xlfn.XLOOKUP($A110,Profitability!$A$5:$A$342,Profitability!$Q$5:$Q$342),"na")</f>
        <v/>
      </c>
      <c r="S110" s="10">
        <f>IFERROR(_xlfn.XLOOKUP($A110,Profitability!$A$5:$A$342,Profitability!$R$5:$R$342),"na")</f>
        <v/>
      </c>
      <c r="T110" s="8" t="inlineStr">
        <is>
          <t>Public</t>
        </is>
      </c>
      <c r="U110" s="8" t="inlineStr">
        <is>
          <t>Australia</t>
        </is>
      </c>
      <c r="V110" s="9" t="n">
        <v>1987</v>
      </c>
      <c r="W110" s="10" t="n">
        <v>4400</v>
      </c>
      <c r="X110" s="11" t="n">
        <v>1823.33699999999</v>
      </c>
      <c r="Y110" s="8" t="inlineStr">
        <is>
          <t>Pacific</t>
        </is>
      </c>
      <c r="Z110" s="8" t="inlineStr">
        <is>
          <t>Western Australia (WA)</t>
        </is>
      </c>
      <c r="AA110" s="11" t="n">
        <v>2945.29507259126</v>
      </c>
      <c r="AB110" s="8" t="inlineStr">
        <is>
          <t>Austal Ltd. engages in the design and construction of customized aluminum commercial and defense vessels. It also operates through the following segments: USA Shipbuilding, USA Support, Australasia Shipbuilding, and Australasia Support. The USA Shipbuilding segment manufactures defense vessels for the US Navy and Coast Guard. The USA Support segment provides on-going support and maintenance of Austal and non-Austal vessels. The Australasia Shipbuilding segment includes Austal’s Australia, Philippines, and Vietnam shipbuilding operations. The Australasia Support segment refers to the Austal’s Australia, Oman, and Trinidad and Tobago operations. The company was founded by John Rothwell in 1988 and is headquartered in Henderson, Australia.</t>
        </is>
      </c>
      <c r="AC110" s="8" t="inlineStr">
        <is>
          <t>Commercial Transportation Equipment Manufacturing</t>
        </is>
      </c>
      <c r="AD110" s="8" t="inlineStr">
        <is>
          <t>Transportation Equipment Manufacturing</t>
        </is>
      </c>
      <c r="AE110" s="8" t="inlineStr">
        <is>
          <t>Industrial Manufacturing</t>
        </is>
      </c>
      <c r="AF110" s="12" t="inlineStr">
        <is>
          <t>Ship Builders and Ship Repair Service Providers</t>
        </is>
      </c>
      <c r="AH110" t="n">
        <v>3405</v>
      </c>
      <c r="AJ110" t="inlineStr">
        <is>
          <t>Citation(s): [3]</t>
        </is>
      </c>
      <c r="AK110" t="n">
        <v>7011</v>
      </c>
      <c r="AM110" t="inlineStr">
        <is>
          <t>Citation(s): [3]</t>
        </is>
      </c>
      <c r="AN110" t="n">
        <v>46668</v>
      </c>
      <c r="AP110" t="inlineStr">
        <is>
          <t>Includes upstream emissions only. Downstream Scope 3 is not currently reported. Citation(s): [3, 4]</t>
        </is>
      </c>
      <c r="AR110" t="n">
        <v>0.049214</v>
      </c>
    </row>
    <row r="111" ht="15" customHeight="1">
      <c r="A111" s="8" t="inlineStr">
        <is>
          <t>ALQ-AU</t>
        </is>
      </c>
      <c r="B111" s="8" t="inlineStr">
        <is>
          <t>ALS Ltd.</t>
        </is>
      </c>
      <c r="C111" s="8" t="n"/>
      <c r="D111" s="8" t="n"/>
      <c r="E111" s="8" t="n"/>
      <c r="F111" s="8" t="n"/>
      <c r="G111" s="8" t="n"/>
      <c r="H111" s="8" t="n"/>
      <c r="I111" s="8" t="n"/>
      <c r="J111" s="8" t="n"/>
      <c r="K111" s="8" t="n"/>
      <c r="L111" s="8" t="n"/>
      <c r="M111" s="8" t="n"/>
      <c r="N111" s="17" t="n"/>
      <c r="O111" s="17" t="n"/>
      <c r="P111" s="17" t="n"/>
      <c r="Q111" s="17" t="n"/>
      <c r="R111" s="10">
        <f>IFERROR(_xlfn.XLOOKUP($A111,Profitability!$A$5:$A$342,Profitability!$Q$5:$Q$342),"na")</f>
        <v/>
      </c>
      <c r="S111" s="10">
        <f>IFERROR(_xlfn.XLOOKUP($A111,Profitability!$A$5:$A$342,Profitability!$R$5:$R$342),"na")</f>
        <v/>
      </c>
      <c r="T111" s="8" t="inlineStr">
        <is>
          <t>Public</t>
        </is>
      </c>
      <c r="U111" s="8" t="inlineStr">
        <is>
          <t>Australia</t>
        </is>
      </c>
      <c r="V111" s="9" t="n">
        <v>1910</v>
      </c>
      <c r="W111" s="10" t="n">
        <v>20515</v>
      </c>
      <c r="X111" s="11" t="n">
        <v>2999.39999999999</v>
      </c>
      <c r="Y111" s="8" t="inlineStr">
        <is>
          <t>Pacific</t>
        </is>
      </c>
      <c r="Z111" s="8" t="inlineStr">
        <is>
          <t>Queensland (QLD)</t>
        </is>
      </c>
      <c r="AA111" s="11" t="n">
        <v>4114.30005892911</v>
      </c>
      <c r="AB111" s="8" t="inlineStr">
        <is>
          <t>ALS Ltd. engages in the provision of analytical and testing services businesses and partnerships. It operates through the following segments: Life Sciences, Commodities, Industrial, and Other. The Life Sciences segment is involved in analytical testing data to assist consulting and engineering firms, industry, and governments in making informed decisions about environmental, food and pharmaceutical, electronics, consumer products, and animal health. The Commodities segment includes assaying and analytical testing and metallurgical services for mining and mineral exploration companies and provides specialist services to the coal industry such as coal sampling, analysis and certification, and formation evaluation services. The Industrial segment focuses on energy, resources, and infrastructure sectors with asset care and tribology testing services. The company was founded in 1863 and is headquartered in Brisbane, Australia.</t>
        </is>
      </c>
      <c r="AC111" s="8" t="inlineStr">
        <is>
          <t>Consulting/Business Process Outsourcing Services</t>
        </is>
      </c>
      <c r="AD111" s="8" t="inlineStr">
        <is>
          <t>Other Professional Services</t>
        </is>
      </c>
      <c r="AE111" s="8" t="inlineStr">
        <is>
          <t>Business Services</t>
        </is>
      </c>
      <c r="AF111" s="12" t="inlineStr">
        <is>
          <t>Other Consulting and Business Process Outsourcing</t>
        </is>
      </c>
      <c r="AH111" t="n">
        <v>36970</v>
      </c>
      <c r="AI111" t="n">
        <v>1</v>
      </c>
      <c r="AJ111" t="inlineStr">
        <is>
          <t>Industrial materials,0,851,526,"1,377"
Corporate,0,0,0,0
Total,7,"11,605","25,358","36,970"</t>
        </is>
      </c>
      <c r="AK111" t="n">
        <v>1603</v>
      </c>
      <c r="AL111" t="n">
        <v>1</v>
      </c>
      <c r="AM111" t="inlineStr">
        <is>
          <t>,,Electricity,District,Total
,Scope 2 emissions*,,,
programs to reduce Scope 2 emissions through improving,,,,</t>
        </is>
      </c>
      <c r="AN111" t="n">
        <v>289326</v>
      </c>
      <c r="AO111" t="n">
        <v>1</v>
      </c>
      <c r="AP111" t="inlineStr">
        <is>
          <t>Industrial materials,0,851,526,"1,377"
Corporate,0,0,0,0
Total,7,"11,605","25,358","36,970"</t>
        </is>
      </c>
      <c r="AQ111" t="n">
        <v>11</v>
      </c>
      <c r="AR111" t="n">
        <v>0.08541700000000001</v>
      </c>
      <c r="AS111" t="n">
        <v>0.003667</v>
      </c>
    </row>
    <row r="112" ht="15" customHeight="1">
      <c r="A112" s="8" t="inlineStr">
        <is>
          <t>CAA-AU</t>
        </is>
      </c>
      <c r="B112" s="8" t="inlineStr">
        <is>
          <t>Capral Ltd.</t>
        </is>
      </c>
      <c r="C112" s="8" t="n"/>
      <c r="D112" s="8" t="n"/>
      <c r="E112" s="8" t="n"/>
      <c r="F112" s="8" t="n"/>
      <c r="G112" s="8" t="n"/>
      <c r="H112" s="8" t="n"/>
      <c r="I112" s="8" t="n"/>
      <c r="J112" s="8" t="n"/>
      <c r="K112" s="8" t="n"/>
      <c r="L112" s="8" t="n"/>
      <c r="M112" s="8" t="n"/>
      <c r="N112" s="17" t="n"/>
      <c r="O112" s="17" t="n"/>
      <c r="P112" s="17" t="n"/>
      <c r="Q112" s="17" t="n"/>
      <c r="R112" s="10">
        <f>IFERROR(_xlfn.XLOOKUP($A112,Profitability!$A$5:$A$342,Profitability!$Q$5:$Q$342),"na")</f>
        <v/>
      </c>
      <c r="S112" s="10">
        <f>IFERROR(_xlfn.XLOOKUP($A112,Profitability!$A$5:$A$342,Profitability!$R$5:$R$342),"na")</f>
        <v/>
      </c>
      <c r="T112" s="8" t="inlineStr">
        <is>
          <t>Public</t>
        </is>
      </c>
      <c r="U112" s="8" t="inlineStr">
        <is>
          <t>Australia</t>
        </is>
      </c>
      <c r="V112" s="9" t="n">
        <v>1936</v>
      </c>
      <c r="W112" s="10" t="inlineStr">
        <is>
          <t>-</t>
        </is>
      </c>
      <c r="X112" s="11" t="n">
        <v>604.398</v>
      </c>
      <c r="Y112" s="8" t="inlineStr">
        <is>
          <t>Pacific</t>
        </is>
      </c>
      <c r="Z112" s="8" t="inlineStr">
        <is>
          <t>Queensland (QLD)</t>
        </is>
      </c>
      <c r="AA112" s="11" t="n">
        <v>472.415985346479</v>
      </c>
      <c r="AB112" s="8" t="inlineStr">
        <is>
          <t>Capral Ltd. engages in the manufacturing, marketing, and distribution of fabricated and semi-fabricated aluminium related products. It operates through the following segments: Residential, Commercial, and Industrial. The Residential segment supplies aluminum and components for windows and doors, showers and wardrobes, and security products. The Commercial segment offers aluminum and other components for windows and doors, internal fit outs, and other commercial building related products. The Industrial segment consists of aluminum extrusions and rolled products for industrial uses. The company was founded in 1936 and is headquartered in Bundamba, Australia.</t>
        </is>
      </c>
      <c r="AC112" s="8" t="inlineStr">
        <is>
          <t>Architectural and Infrastructure Component Makers</t>
        </is>
      </c>
      <c r="AD112" s="8" t="inlineStr">
        <is>
          <t>Construction Materials</t>
        </is>
      </c>
      <c r="AE112" s="8" t="inlineStr">
        <is>
          <t>Mining and Mineral Products</t>
        </is>
      </c>
      <c r="AF112" s="12" t="inlineStr">
        <is>
          <t>Architectural Component Manufacturing</t>
        </is>
      </c>
      <c r="AH112" t="n">
        <v>9450</v>
      </c>
      <c r="AI112" t="n">
        <v>1</v>
      </c>
      <c r="AJ112" t="inlineStr">
        <is>
          <t>energy will drive future reductions.,,,,
,0,,,</t>
        </is>
      </c>
      <c r="AK112" t="n">
        <v>23870</v>
      </c>
      <c r="AL112" t="n">
        <v>1</v>
      </c>
      <c r="AM112" t="inlineStr">
        <is>
          <t>energy will drive future reductions.,,,,
,0,,,</t>
        </is>
      </c>
      <c r="AN112" t="n">
        <v>0</v>
      </c>
      <c r="AQ112" t="n">
        <v>1</v>
      </c>
      <c r="AR112" t="n">
        <v>0.053751</v>
      </c>
      <c r="AS112" t="n">
        <v>0.001655</v>
      </c>
    </row>
    <row r="113" ht="15" customHeight="1">
      <c r="A113" s="8" t="inlineStr">
        <is>
          <t>SRV-AU</t>
        </is>
      </c>
      <c r="B113" s="8" t="inlineStr">
        <is>
          <t>Servcorp Ltd.</t>
        </is>
      </c>
      <c r="C113" s="8" t="n"/>
      <c r="D113" s="8" t="n"/>
      <c r="E113" s="8" t="n"/>
      <c r="F113" s="8" t="n"/>
      <c r="G113" s="8" t="n"/>
      <c r="H113" s="8" t="n"/>
      <c r="I113" s="8" t="n"/>
      <c r="J113" s="8" t="n"/>
      <c r="K113" s="8" t="n"/>
      <c r="L113" s="8" t="n"/>
      <c r="M113" s="8" t="n"/>
      <c r="N113" s="17" t="n"/>
      <c r="O113" s="17" t="n"/>
      <c r="P113" s="17" t="n"/>
      <c r="Q113" s="17" t="n"/>
      <c r="R113" s="10">
        <f>IFERROR(_xlfn.XLOOKUP($A113,Profitability!$A$5:$A$342,Profitability!$Q$5:$Q$342),"na")</f>
        <v/>
      </c>
      <c r="S113" s="10">
        <f>IFERROR(_xlfn.XLOOKUP($A113,Profitability!$A$5:$A$342,Profitability!$R$5:$R$342),"na")</f>
        <v/>
      </c>
      <c r="T113" s="8" t="inlineStr">
        <is>
          <t>Public</t>
        </is>
      </c>
      <c r="U113" s="8" t="inlineStr">
        <is>
          <t>Australia</t>
        </is>
      </c>
      <c r="V113" s="9" t="n">
        <v>1999</v>
      </c>
      <c r="W113" s="10" t="n">
        <v>703</v>
      </c>
      <c r="X113" s="11" t="n">
        <v>349.592999999999</v>
      </c>
      <c r="Y113" s="8" t="inlineStr">
        <is>
          <t>Pacific</t>
        </is>
      </c>
      <c r="Z113" s="8" t="inlineStr">
        <is>
          <t>New South Wales (NSW)</t>
        </is>
      </c>
      <c r="AA113" s="11" t="n">
        <v>722.183017799297</v>
      </c>
      <c r="AB113" s="8" t="inlineStr">
        <is>
          <t>Servcorp Ltd. engages in the provision of workspace solutions. It offers executive serviced and virtual offices, co-working and information technology services, communications services, and secretarial services. It operates through the following geographical segments: Australia, New Zealand, and Southeast Asia; North Asia; Europe and Middles East; United States of America; and Other. The company was founded by Alfred George Moufarrige in 1978 and is headquartered in Sydney, Australia.</t>
        </is>
      </c>
      <c r="AC113" s="8" t="inlineStr">
        <is>
          <t>Administrative Services</t>
        </is>
      </c>
      <c r="AD113" s="8" t="inlineStr">
        <is>
          <t>Other Professional Services</t>
        </is>
      </c>
      <c r="AE113" s="8" t="inlineStr">
        <is>
          <t>Business Services</t>
        </is>
      </c>
      <c r="AF113" s="12" t="inlineStr">
        <is>
          <t>Other Business Administrative Services</t>
        </is>
      </c>
      <c r="AR113" t="n">
        <v>0.151948</v>
      </c>
    </row>
    <row r="114" ht="15" customHeight="1">
      <c r="A114" s="8" t="inlineStr">
        <is>
          <t>AOV-AU</t>
        </is>
      </c>
      <c r="B114" s="8" t="inlineStr">
        <is>
          <t>Amotiv Ltd.</t>
        </is>
      </c>
      <c r="C114" s="8" t="n"/>
      <c r="D114" s="8" t="n"/>
      <c r="E114" s="8" t="n"/>
      <c r="F114" s="8" t="n"/>
      <c r="G114" s="8" t="n"/>
      <c r="H114" s="8" t="n"/>
      <c r="I114" s="8" t="n"/>
      <c r="J114" s="8" t="n"/>
      <c r="K114" s="8" t="n"/>
      <c r="L114" s="8" t="n"/>
      <c r="M114" s="8" t="n"/>
      <c r="N114" s="17" t="n"/>
      <c r="O114" s="17" t="n"/>
      <c r="P114" s="17" t="n"/>
      <c r="Q114" s="17" t="n"/>
      <c r="R114" s="10">
        <f>IFERROR(_xlfn.XLOOKUP($A114,Profitability!$A$5:$A$342,Profitability!$Q$5:$Q$342),"na")</f>
        <v/>
      </c>
      <c r="S114" s="10">
        <f>IFERROR(_xlfn.XLOOKUP($A114,Profitability!$A$5:$A$342,Profitability!$R$5:$R$342),"na")</f>
        <v/>
      </c>
      <c r="T114" s="8" t="inlineStr">
        <is>
          <t>Public</t>
        </is>
      </c>
      <c r="U114" s="8" t="inlineStr">
        <is>
          <t>Australia</t>
        </is>
      </c>
      <c r="V114" s="9" t="n">
        <v>1958</v>
      </c>
      <c r="W114" s="10" t="inlineStr">
        <is>
          <t>-</t>
        </is>
      </c>
      <c r="X114" s="11" t="n">
        <v>997.399999999999</v>
      </c>
      <c r="Y114" s="8" t="inlineStr">
        <is>
          <t>Pacific</t>
        </is>
      </c>
      <c r="Z114" s="8" t="inlineStr">
        <is>
          <t>Victoria (VIC)</t>
        </is>
      </c>
      <c r="AA114" s="11" t="n">
        <v>1663.00004098716</v>
      </c>
      <c r="AB114" s="8" t="inlineStr">
        <is>
          <t>Amotiv Ltd. engages in the manufacture, distribution, and sale of automotive products, pumps, pool and spa systems, and water pressure systems. It operates through the following segments: Automotive, APG, and Davey. The Automotive segment provides automotive and heavy-duty filters for cars, trucks, agricultural and mining equipment, automotive electrical and lighting products, fuel pumps and associated products, and accessories for the automotive after-market. The APG segment focuses on manufacturing and marketing of towing, trailering, functional accessories and associated products for the automotive aftermarket and original equipment manufacturer customers. The Davey segment offers pumps and pressure systems for household and farm water, water transfer pumps, swimming pool products, spa bath controllers, pumps, and water purification equipment. The company was founded on April 18, 1958 and is headquartered in Melbourne, Australia.</t>
        </is>
      </c>
      <c r="AC114" s="8" t="inlineStr">
        <is>
          <t>Consumer Vehicle Parts Manufacturing</t>
        </is>
      </c>
      <c r="AD114" s="8" t="inlineStr">
        <is>
          <t>Consumer Vehicles and Parts</t>
        </is>
      </c>
      <c r="AE114" s="8" t="inlineStr">
        <is>
          <t>Consumer Vehicles and Parts</t>
        </is>
      </c>
      <c r="AF114" s="12" t="inlineStr">
        <is>
          <t>Consumer Vehicle Powertrain and Chassis Makers</t>
        </is>
      </c>
      <c r="AH114" t="n">
        <v>2640</v>
      </c>
      <c r="AJ114" t="inlineStr">
        <is>
          <t>Estimated based on 30% of Net Scope 1 &amp; 2 total (8.8 ktCO2e), assuming the remaining portion after Scope 2 is Scope 1. Note: Net Scope 1 &amp; 2 is 8,800 tCO2e.</t>
        </is>
      </c>
      <c r="AK114" t="n">
        <v>6160</v>
      </c>
      <c r="AM114" t="inlineStr">
        <is>
          <t>Estimated based on 70% of Net Scope 1 &amp; 2 total (8.8 ktCO2e), as the vast majority (70%) is linked to purchased electricity. Note: Net Scope 1 &amp; 2 is 8,800 tCO2e.</t>
        </is>
      </c>
      <c r="AN114" t="n">
        <v>0</v>
      </c>
      <c r="AP114" t="inlineStr">
        <is>
          <t>No specific Scope 3 total found.</t>
        </is>
      </c>
      <c r="AR114" t="n">
        <v>-0.106577</v>
      </c>
    </row>
    <row r="115" ht="15" customHeight="1">
      <c r="A115" s="8" t="inlineStr">
        <is>
          <t>PMV-AU</t>
        </is>
      </c>
      <c r="B115" s="8" t="inlineStr">
        <is>
          <t>Premier Investments Ltd.</t>
        </is>
      </c>
      <c r="C115" s="8" t="n"/>
      <c r="D115" s="8" t="n"/>
      <c r="E115" s="8" t="n"/>
      <c r="F115" s="8" t="n"/>
      <c r="G115" s="8" t="n"/>
      <c r="H115" s="8" t="n"/>
      <c r="I115" s="8" t="n"/>
      <c r="J115" s="8" t="n"/>
      <c r="K115" s="8" t="n"/>
      <c r="L115" s="8" t="n"/>
      <c r="M115" s="8" t="n"/>
      <c r="N115" s="17" t="n"/>
      <c r="O115" s="17" t="n"/>
      <c r="P115" s="17" t="n"/>
      <c r="Q115" s="17" t="n"/>
      <c r="R115" s="10">
        <f>IFERROR(_xlfn.XLOOKUP($A115,Profitability!$A$5:$A$342,Profitability!$Q$5:$Q$342),"na")</f>
        <v/>
      </c>
      <c r="S115" s="10">
        <f>IFERROR(_xlfn.XLOOKUP($A115,Profitability!$A$5:$A$342,Profitability!$R$5:$R$342),"na")</f>
        <v/>
      </c>
      <c r="T115" s="8" t="inlineStr">
        <is>
          <t>Public</t>
        </is>
      </c>
      <c r="U115" s="8" t="inlineStr">
        <is>
          <t>Australia</t>
        </is>
      </c>
      <c r="V115" s="9" t="n">
        <v>1987</v>
      </c>
      <c r="W115" s="10" t="n">
        <v>10000</v>
      </c>
      <c r="X115" s="11" t="n">
        <v>1606.76296370281</v>
      </c>
      <c r="Y115" s="8" t="inlineStr">
        <is>
          <t>Pacific</t>
        </is>
      </c>
      <c r="Z115" s="8" t="inlineStr">
        <is>
          <t>Victoria (VIC)</t>
        </is>
      </c>
      <c r="AA115" s="11" t="n">
        <v>2514.4840042985</v>
      </c>
      <c r="AB115" s="8" t="inlineStr">
        <is>
          <t>Premier Investments Ltd. operates as an investment company. It operates through the Retail and Investment segments. The Retail segment manages the financial performance of a number of specialty retail fashion chains. The Investment segment represents investment in properties; securities for both long and short term gains; rental income; dividend income; and interest. It offers its products through the Just Jeans, Jay Jays, Portmans, Jacqui E, Peter Alexander, Dotti, and Smiggle brands. The company was founded on March 26, 1987 and is headquartered in Melbourne, Australia.</t>
        </is>
      </c>
      <c r="AC115" s="8" t="inlineStr">
        <is>
          <t>Apparel Retail</t>
        </is>
      </c>
      <c r="AD115" s="8" t="inlineStr">
        <is>
          <t>Apparel and Accessories Retail</t>
        </is>
      </c>
      <c r="AE115" s="8" t="inlineStr">
        <is>
          <t>Consumer Retail</t>
        </is>
      </c>
      <c r="AF115" s="12" t="inlineStr">
        <is>
          <t>Other Apparel Retail</t>
        </is>
      </c>
      <c r="AR115" t="n">
        <v>0.08960899999999999</v>
      </c>
    </row>
    <row r="116" ht="15" customHeight="1">
      <c r="A116" s="8" t="inlineStr">
        <is>
          <t>ARB-AU</t>
        </is>
      </c>
      <c r="B116" s="8" t="inlineStr">
        <is>
          <t>ARB Corp. Ltd.</t>
        </is>
      </c>
      <c r="C116" s="8" t="n"/>
      <c r="D116" s="8" t="n"/>
      <c r="E116" s="8" t="n"/>
      <c r="F116" s="8" t="n"/>
      <c r="G116" s="8" t="n"/>
      <c r="H116" s="8" t="n"/>
      <c r="I116" s="8" t="n"/>
      <c r="J116" s="8" t="n"/>
      <c r="K116" s="8" t="n"/>
      <c r="L116" s="8" t="n"/>
      <c r="M116" s="8" t="n"/>
      <c r="N116" s="17" t="n"/>
      <c r="O116" s="17" t="n"/>
      <c r="P116" s="17" t="n"/>
      <c r="Q116" s="17" t="n"/>
      <c r="R116" s="10">
        <f>IFERROR(_xlfn.XLOOKUP($A116,Profitability!$A$5:$A$342,Profitability!$Q$5:$Q$342),"na")</f>
        <v/>
      </c>
      <c r="S116" s="10">
        <f>IFERROR(_xlfn.XLOOKUP($A116,Profitability!$A$5:$A$342,Profitability!$R$5:$R$342),"na")</f>
        <v/>
      </c>
      <c r="T116" s="8" t="inlineStr">
        <is>
          <t>Public</t>
        </is>
      </c>
      <c r="U116" s="8" t="inlineStr">
        <is>
          <t>Australia</t>
        </is>
      </c>
      <c r="V116" s="9" t="n">
        <v>1975</v>
      </c>
      <c r="W116" s="10" t="inlineStr">
        <is>
          <t>-</t>
        </is>
      </c>
      <c r="X116" s="11" t="n">
        <v>729.949</v>
      </c>
      <c r="Y116" s="8" t="inlineStr">
        <is>
          <t>Pacific</t>
        </is>
      </c>
      <c r="Z116" s="8" t="inlineStr">
        <is>
          <t>Victoria (VIC)</t>
        </is>
      </c>
      <c r="AA116" s="11" t="n">
        <v>904.77402229953</v>
      </c>
      <c r="AB116" s="8" t="inlineStr">
        <is>
          <t>ARB Corp. Ltd. engages in the design, manufacture, distribution, and selling of motor vehicle accessories and light metal engineering work. It operates through the following geographical segments: Australia, USA, Thailand, and Middle East, Europe &amp; United Kingdom. The company was founded by Anthony Ronald Brown in 1975 and is headquartered in Kilsyth, Australia.</t>
        </is>
      </c>
      <c r="AC116" s="8" t="inlineStr">
        <is>
          <t>Consumer Vehicle Parts Manufacturing</t>
        </is>
      </c>
      <c r="AD116" s="8" t="inlineStr">
        <is>
          <t>Consumer Vehicles and Parts</t>
        </is>
      </c>
      <c r="AE116" s="8" t="inlineStr">
        <is>
          <t>Consumer Vehicles and Parts</t>
        </is>
      </c>
      <c r="AF116" s="12" t="inlineStr">
        <is>
          <t>Automobile Comfort/Safety/Electronics Parts Makers</t>
        </is>
      </c>
      <c r="AR116" t="n">
        <v>0.133608</v>
      </c>
    </row>
    <row r="117" ht="15" customHeight="1">
      <c r="A117" s="8" t="inlineStr">
        <is>
          <t>RSG-AU</t>
        </is>
      </c>
      <c r="B117" s="8" t="inlineStr">
        <is>
          <t>Resolute Mining Ltd.</t>
        </is>
      </c>
      <c r="C117" s="8" t="n"/>
      <c r="D117" s="8" t="n"/>
      <c r="E117" s="8" t="n"/>
      <c r="F117" s="8" t="n"/>
      <c r="G117" s="8" t="n"/>
      <c r="H117" s="8" t="n"/>
      <c r="I117" s="8" t="n"/>
      <c r="J117" s="8" t="n"/>
      <c r="K117" s="8" t="n"/>
      <c r="L117" s="8" t="n"/>
      <c r="M117" s="8" t="n"/>
      <c r="N117" s="17" t="n"/>
      <c r="O117" s="17" t="n"/>
      <c r="P117" s="17" t="n"/>
      <c r="Q117" s="17" t="n"/>
      <c r="R117" s="10">
        <f>IFERROR(_xlfn.XLOOKUP($A117,Profitability!$A$5:$A$342,Profitability!$Q$5:$Q$342),"na")</f>
        <v/>
      </c>
      <c r="S117" s="10">
        <f>IFERROR(_xlfn.XLOOKUP($A117,Profitability!$A$5:$A$342,Profitability!$R$5:$R$342),"na")</f>
        <v/>
      </c>
      <c r="T117" s="8" t="inlineStr">
        <is>
          <t>Public</t>
        </is>
      </c>
      <c r="U117" s="8" t="inlineStr">
        <is>
          <t>Australia</t>
        </is>
      </c>
      <c r="V117" s="9" t="n">
        <v>2001</v>
      </c>
      <c r="W117" s="10" t="n">
        <v>1099</v>
      </c>
      <c r="X117" s="11" t="n">
        <v>1214.33315196828</v>
      </c>
      <c r="Y117" s="8" t="inlineStr">
        <is>
          <t>Pacific</t>
        </is>
      </c>
      <c r="Z117" s="8" t="inlineStr">
        <is>
          <t>Western Australia (WA)</t>
        </is>
      </c>
      <c r="AA117" s="11" t="n">
        <v>1323.67919661296</v>
      </c>
      <c r="AB117" s="8" t="inlineStr">
        <is>
          <t>Resolute Mining Ltd. operates as a holding company, which engages in exploration, development, and operation of gold mines across Australia and Africa. The company was founded on June 8, 2001, and is headquartered in Perth, Australia.</t>
        </is>
      </c>
      <c r="AC117" s="8" t="inlineStr">
        <is>
          <t>Precious Metal Mining</t>
        </is>
      </c>
      <c r="AD117" s="8" t="inlineStr">
        <is>
          <t>Metal Ore Mining</t>
        </is>
      </c>
      <c r="AE117" s="8" t="inlineStr">
        <is>
          <t>Mining and Mineral Products</t>
        </is>
      </c>
      <c r="AF117" s="12" t="inlineStr">
        <is>
          <t>Other Gold Mining</t>
        </is>
      </c>
      <c r="AH117" t="n">
        <v>300920</v>
      </c>
      <c r="AI117" t="n">
        <v>1</v>
      </c>
      <c r="AJ117" t="inlineStr">
        <is>
          <t>tCO2e
180,502","110,862
212,685</t>
        </is>
      </c>
      <c r="AK117" t="n">
        <v>34</v>
      </c>
      <c r="AL117" t="n">
        <v>1</v>
      </c>
      <c r="AM117" t="inlineStr">
        <is>
          <t>tCO2e
180,502","110,862
212,685</t>
        </is>
      </c>
      <c r="AN117" t="n">
        <v>0</v>
      </c>
      <c r="AO117" t="n">
        <v>0.85</v>
      </c>
      <c r="AP117" t="inlineStr">
        <is>
          <t>Greenhouse gas emissions,
Resolute has been disclosing its Scope 1 and 2 GHG emissions,"Emissions intensity, the ratio of emissions to volume of gold"
"since 2019, and Scope 3 emissions since 2020. These are","produced, has been influenced at Mako by reducing the diesel"</t>
        </is>
      </c>
      <c r="AQ117" t="n">
        <v>5</v>
      </c>
      <c r="AR117" t="n">
        <v>-0.03533</v>
      </c>
      <c r="AS117" t="n">
        <v>0.004117</v>
      </c>
    </row>
    <row r="118" ht="15" customHeight="1">
      <c r="A118" s="8" t="inlineStr">
        <is>
          <t>SHV-AU</t>
        </is>
      </c>
      <c r="B118" s="8" t="inlineStr">
        <is>
          <t>Select Harvests Ltd.</t>
        </is>
      </c>
      <c r="C118" s="8" t="n"/>
      <c r="D118" s="8" t="n"/>
      <c r="E118" s="8" t="n"/>
      <c r="F118" s="8" t="n"/>
      <c r="G118" s="8" t="n"/>
      <c r="H118" s="8" t="n"/>
      <c r="I118" s="8" t="n"/>
      <c r="J118" s="8" t="n"/>
      <c r="K118" s="8" t="n"/>
      <c r="L118" s="8" t="n"/>
      <c r="M118" s="8" t="n"/>
      <c r="N118" s="17" t="n"/>
      <c r="O118" s="17" t="n"/>
      <c r="P118" s="17" t="n"/>
      <c r="Q118" s="17" t="n"/>
      <c r="R118" s="10">
        <f>IFERROR(_xlfn.XLOOKUP($A118,Profitability!$A$5:$A$342,Profitability!$Q$5:$Q$342),"na")</f>
        <v/>
      </c>
      <c r="S118" s="10">
        <f>IFERROR(_xlfn.XLOOKUP($A118,Profitability!$A$5:$A$342,Profitability!$R$5:$R$342),"na")</f>
        <v/>
      </c>
      <c r="T118" s="8" t="inlineStr">
        <is>
          <t>Public</t>
        </is>
      </c>
      <c r="U118" s="8" t="inlineStr">
        <is>
          <t>Australia</t>
        </is>
      </c>
      <c r="V118" s="9" t="n">
        <v>1969</v>
      </c>
      <c r="W118" s="10" t="n">
        <v>471</v>
      </c>
      <c r="X118" s="11" t="n">
        <v>336.837999999999</v>
      </c>
      <c r="Y118" s="8" t="inlineStr">
        <is>
          <t>Pacific</t>
        </is>
      </c>
      <c r="Z118" s="8" t="inlineStr">
        <is>
          <t>Victoria (VIC)</t>
        </is>
      </c>
      <c r="AA118" s="11" t="n">
        <v>1010.06801730886</v>
      </c>
      <c r="AB118" s="8" t="inlineStr">
        <is>
          <t>Select Harvests Ltd. engages in the processing, packaging, marketing, and distribution of edible nuts, dried fruits, seeds, and a range of natural health products. It operates through following segments: Sale of Goods, Management Services, and Government Grant and Other Revenue. The Sale of Goods segment refers to the when the goods are shipped to the customer or when the services have been provided. The Management Services segment offers services provided for the management and development of farms as well as acting as sales agent for external growers by selling almonds on their behalf. The Government Grant and Other Revenue segment represents the assistance by the government in the form of transfers of resource to the group. The company was founded in 1978 and is headquartered in Richmond, Australia.</t>
        </is>
      </c>
      <c r="AC118" s="8" t="inlineStr">
        <is>
          <t>Crop Production</t>
        </is>
      </c>
      <c r="AD118" s="8" t="inlineStr">
        <is>
          <t>Agriculture</t>
        </is>
      </c>
      <c r="AE118" s="8" t="inlineStr">
        <is>
          <t>Food and Tobacco Production</t>
        </is>
      </c>
      <c r="AF118" s="12" t="inlineStr">
        <is>
          <t>Fruit, Nut and Vegetable Farming</t>
        </is>
      </c>
      <c r="AH118" t="n">
        <v>54601</v>
      </c>
      <c r="AI118" t="n">
        <v>1</v>
      </c>
      <c r="AJ118" t="inlineStr">
        <is>
          <t>Emission source,2023–24,2022–23,% change
Scope 1,"54,601","53,346",2%
Scope 2,"40,762","37,297",9%</t>
        </is>
      </c>
      <c r="AK118" t="n">
        <v>40762</v>
      </c>
      <c r="AL118" t="n">
        <v>1</v>
      </c>
      <c r="AM118" t="inlineStr">
        <is>
          <t>Scope 1,"54,601","53,346",2%
Scope 2,"40,762","37,297",9%
Scope 3,"45,855","42,858",7%</t>
        </is>
      </c>
      <c r="AN118" t="n">
        <v>45855</v>
      </c>
      <c r="AO118" t="n">
        <v>1</v>
      </c>
      <c r="AP118" t="inlineStr">
        <is>
          <t>Scope 2,"40,762","37,297",9%
Scope 3,"45,855","42,858",7%
Total,"141,218","133,501",6%</t>
        </is>
      </c>
      <c r="AQ118" t="n">
        <v>4</v>
      </c>
      <c r="AR118" t="n">
        <v>0.004453</v>
      </c>
      <c r="AS118" t="n">
        <v>0.011875</v>
      </c>
    </row>
    <row r="119" ht="15" customHeight="1">
      <c r="A119" s="8" t="inlineStr">
        <is>
          <t>FWD-AU</t>
        </is>
      </c>
      <c r="B119" s="8" t="inlineStr">
        <is>
          <t>Fleetwood Ltd.</t>
        </is>
      </c>
      <c r="C119" s="8" t="n"/>
      <c r="D119" s="8" t="n"/>
      <c r="E119" s="8" t="n"/>
      <c r="F119" s="8" t="n"/>
      <c r="G119" s="8" t="n"/>
      <c r="H119" s="8" t="n"/>
      <c r="I119" s="8" t="n"/>
      <c r="J119" s="8" t="n"/>
      <c r="K119" s="8" t="n"/>
      <c r="L119" s="8" t="n"/>
      <c r="M119" s="8" t="n"/>
      <c r="N119" s="17" t="n"/>
      <c r="O119" s="17" t="n"/>
      <c r="P119" s="17" t="n"/>
      <c r="Q119" s="17" t="n"/>
      <c r="R119" s="10">
        <f>IFERROR(_xlfn.XLOOKUP($A119,Profitability!$A$5:$A$342,Profitability!$Q$5:$Q$342),"na")</f>
        <v/>
      </c>
      <c r="S119" s="10">
        <f>IFERROR(_xlfn.XLOOKUP($A119,Profitability!$A$5:$A$342,Profitability!$R$5:$R$342),"na")</f>
        <v/>
      </c>
      <c r="T119" s="8" t="inlineStr">
        <is>
          <t>Public</t>
        </is>
      </c>
      <c r="U119" s="8" t="inlineStr">
        <is>
          <t>Australia</t>
        </is>
      </c>
      <c r="V119" s="9" t="n">
        <v>1986</v>
      </c>
      <c r="W119" s="10" t="inlineStr">
        <is>
          <t>-</t>
        </is>
      </c>
      <c r="X119" s="11" t="n">
        <v>503.083</v>
      </c>
      <c r="Y119" s="8" t="inlineStr">
        <is>
          <t>Pacific</t>
        </is>
      </c>
      <c r="Z119" s="8" t="inlineStr">
        <is>
          <t>New South Wales (NSW)</t>
        </is>
      </c>
      <c r="AA119" s="11" t="n">
        <v>257.433006344827</v>
      </c>
      <c r="AB119" s="8" t="inlineStr">
        <is>
          <t>Fleetwood Ltd. engages in the manufacturing and selling of caravans, spare parts, and accessories. It manufactures marine equipment, campers and fiber glass canopy. The company also provides a park home, transportable home and portable accommodation. It operates through the following segments: RV Solutions, Building Solutions, and Community Solutions. The RV Solutions segment is engaged in manufacturing, installation, and distribution of recreational vehicle parts and accessories. The Building Solutions segment designs, creates, and sales manufactured accommodation. The Community Solutions segment handles the operation of communities. The company was founded in 1964 and is headquartered in East Perth, Australia.</t>
        </is>
      </c>
      <c r="AC119" s="8" t="inlineStr">
        <is>
          <t>Manufactured Building Makers</t>
        </is>
      </c>
      <c r="AD119" s="8" t="inlineStr">
        <is>
          <t>Home Builders and Manufactured Buildings</t>
        </is>
      </c>
      <c r="AE119" s="8" t="inlineStr">
        <is>
          <t>Miscellaneous Retail</t>
        </is>
      </c>
      <c r="AF119" s="12" t="inlineStr">
        <is>
          <t>Manufactured Building Makers</t>
        </is>
      </c>
      <c r="AR119" t="n">
        <v>0.028942</v>
      </c>
    </row>
    <row r="120" ht="15" customHeight="1">
      <c r="A120" s="8" t="inlineStr">
        <is>
          <t>APE-AU</t>
        </is>
      </c>
      <c r="B120" s="8" t="inlineStr">
        <is>
          <t>Eagers Automotive Ltd.</t>
        </is>
      </c>
      <c r="C120" s="8" t="n"/>
      <c r="D120" s="8" t="inlineStr">
        <is>
          <t>Vishal</t>
        </is>
      </c>
      <c r="E120" s="8" t="inlineStr">
        <is>
          <t>Kavita Andrews</t>
        </is>
      </c>
      <c r="F120" s="8" t="inlineStr">
        <is>
          <t>Request message sent</t>
        </is>
      </c>
      <c r="G120" s="8" t="n"/>
      <c r="H120" s="8" t="n"/>
      <c r="I120" s="8" t="n"/>
      <c r="J120" s="8" t="n"/>
      <c r="K120" s="8" t="n"/>
      <c r="L120" s="8" t="n"/>
      <c r="M120" s="8" t="n"/>
      <c r="N120" s="17" t="n"/>
      <c r="O120" s="17" t="n"/>
      <c r="P120" s="10" t="n">
        <v>33110</v>
      </c>
      <c r="Q120" s="10" t="n">
        <v>25545</v>
      </c>
      <c r="R120" s="10">
        <f>IFERROR(_xlfn.XLOOKUP($A120,Profitability!$A$5:$A$342,Profitability!$Q$5:$Q$342),"na")</f>
        <v/>
      </c>
      <c r="S120" s="10">
        <f>IFERROR(_xlfn.XLOOKUP($A120,Profitability!$A$5:$A$342,Profitability!$R$5:$R$342),"na")</f>
        <v/>
      </c>
      <c r="T120" s="8" t="inlineStr">
        <is>
          <t>Public</t>
        </is>
      </c>
      <c r="U120" s="8" t="inlineStr">
        <is>
          <t>Australia</t>
        </is>
      </c>
      <c r="V120" s="9" t="n">
        <v>1957</v>
      </c>
      <c r="W120" s="10" t="n">
        <v>8588</v>
      </c>
      <c r="X120" s="11" t="n">
        <v>11193.742</v>
      </c>
      <c r="Y120" s="8" t="inlineStr">
        <is>
          <t>Pacific</t>
        </is>
      </c>
      <c r="Z120" s="8" t="inlineStr">
        <is>
          <t>Queensland (QLD)</t>
        </is>
      </c>
      <c r="AA120" s="11" t="n">
        <v>5689.9778235068</v>
      </c>
      <c r="AB120" s="8" t="inlineStr">
        <is>
          <t>Eagers Automotive Ltd. engages in the management of automotive dealerships. Its activities include the sale of new and used vehicles, distribution and sale of parts, and accessories, repair and servicing of vehicles, provision of extended warranties, facilitation of finance and leasing in respect of motor vehicles, and the ownership of property and investments. It operates through the following segments: Car Retailing, Truck Retailing, Property, and Investment. The Car Retailing segment offers a range of automotive products and services, including new, used, maintenance and repair services, parts, extended service contracts, brokerage, and protection for vehicles. The Truck Retailing segment provides products and services, including new trucks, used, maintenance and repair services, parts, extended service contracts, protection, and other aftermarket products. The Property segment is the acquisition of commercial properties use as facility premises for its motor dealership operations. The Investment segment includes the investments in DealerMotive Limited, Automotive Holdings Group Limited, Smartgroup Corporation Limited, and Dealercell Holdings Pty Limited. The company was founded by Edward Eager and Frederick Eager in 1913 and is headquartered in Brisbane, Australia.</t>
        </is>
      </c>
      <c r="AC120" s="8" t="inlineStr">
        <is>
          <t>Motor Vehicle Sales</t>
        </is>
      </c>
      <c r="AD120" s="8" t="inlineStr">
        <is>
          <t>Auto Retail</t>
        </is>
      </c>
      <c r="AE120" s="8" t="inlineStr">
        <is>
          <t>Miscellaneous Retail</t>
        </is>
      </c>
      <c r="AF120" s="12" t="inlineStr">
        <is>
          <t>Automobile Dealers</t>
        </is>
      </c>
      <c r="AH120" t="n">
        <v>2022000</v>
      </c>
      <c r="AI120" t="n">
        <v>1</v>
      </c>
      <c r="AJ120" t="inlineStr">
        <is>
          <t>2022",2021
-,"Physical risks and opportunities, which can be",Scope 1,"33,110
31,670</t>
        </is>
      </c>
      <c r="AK120" t="n">
        <v>25545</v>
      </c>
      <c r="AL120" t="n">
        <v>1</v>
      </c>
      <c r="AM120" t="inlineStr">
        <is>
          <t>,acute (like extreme weather events) or chronic,,,
,,Scope 2,"25,545
24,762</t>
        </is>
      </c>
      <c r="AQ120" t="n">
        <v>0</v>
      </c>
      <c r="AR120" t="n">
        <v>0.018322</v>
      </c>
      <c r="AS120" t="n">
        <v>0</v>
      </c>
    </row>
    <row r="121" ht="15" customHeight="1">
      <c r="A121" s="8" t="inlineStr">
        <is>
          <t>MAH-AU</t>
        </is>
      </c>
      <c r="B121" s="8" t="inlineStr">
        <is>
          <t>Macmahon Holdings Ltd.</t>
        </is>
      </c>
      <c r="C121" s="8" t="n"/>
      <c r="D121" s="8" t="n"/>
      <c r="E121" s="8" t="n"/>
      <c r="F121" s="8" t="n"/>
      <c r="G121" s="8" t="n"/>
      <c r="H121" s="8" t="n"/>
      <c r="I121" s="8" t="n"/>
      <c r="J121" s="8" t="n"/>
      <c r="K121" s="8" t="n"/>
      <c r="L121" s="8" t="n"/>
      <c r="M121" s="8" t="n"/>
      <c r="N121" s="17" t="n"/>
      <c r="O121" s="17" t="n"/>
      <c r="P121" s="17" t="n"/>
      <c r="Q121" s="17" t="n"/>
      <c r="R121" s="10">
        <f>IFERROR(_xlfn.XLOOKUP($A121,Profitability!$A$5:$A$342,Profitability!$Q$5:$Q$342),"na")</f>
        <v/>
      </c>
      <c r="S121" s="10">
        <f>IFERROR(_xlfn.XLOOKUP($A121,Profitability!$A$5:$A$342,Profitability!$R$5:$R$342),"na")</f>
        <v/>
      </c>
      <c r="T121" s="8" t="inlineStr">
        <is>
          <t>Public</t>
        </is>
      </c>
      <c r="U121" s="8" t="inlineStr">
        <is>
          <t>Australia</t>
        </is>
      </c>
      <c r="V121" s="9" t="n">
        <v>1963</v>
      </c>
      <c r="W121" s="10" t="n">
        <v>10220</v>
      </c>
      <c r="X121" s="11" t="n">
        <v>2427.45799999999</v>
      </c>
      <c r="Y121" s="8" t="inlineStr">
        <is>
          <t>Pacific</t>
        </is>
      </c>
      <c r="Z121" s="8" t="inlineStr">
        <is>
          <t>Western Australia (WA)</t>
        </is>
      </c>
      <c r="AA121" s="11" t="n">
        <v>1760.59304339249</v>
      </c>
      <c r="AB121" s="8" t="inlineStr">
        <is>
          <t>Macmahon Holdings Ltd. engages in the provision of mining activities. It offers Surface mining, underground mining, and mining support and civil infrastructure. The company was founded on August 5, 1963 and is headquartered in Perth, Australia.</t>
        </is>
      </c>
      <c r="AC121" s="8" t="inlineStr">
        <is>
          <t>Specialty Contracting Services</t>
        </is>
      </c>
      <c r="AD121" s="8" t="inlineStr">
        <is>
          <t>Facilities and Construction Services</t>
        </is>
      </c>
      <c r="AE121" s="8" t="inlineStr">
        <is>
          <t>Industrial Services</t>
        </is>
      </c>
      <c r="AF121" s="12" t="inlineStr">
        <is>
          <t>Industrial Specialty Engineering Contractors</t>
        </is>
      </c>
      <c r="AH121" t="n">
        <v>9301</v>
      </c>
      <c r="AI121" t="n">
        <v>1</v>
      </c>
      <c r="AJ121" t="inlineStr">
        <is>
          <t>GHG emissions – Scope 1,t CO2-e,"9,301",894,"1,091"</t>
        </is>
      </c>
      <c r="AK121" t="n">
        <v>3203</v>
      </c>
      <c r="AL121" t="n">
        <v>1</v>
      </c>
      <c r="AM121" t="inlineStr">
        <is>
          <t>GHG emissions – Scope 2,t CO2-e,"3,203",977,913</t>
        </is>
      </c>
      <c r="AN121" t="n">
        <v>0</v>
      </c>
      <c r="AQ121" t="n">
        <v>0</v>
      </c>
      <c r="AR121" t="n">
        <v>0.030461</v>
      </c>
      <c r="AS121" t="n">
        <v>0</v>
      </c>
    </row>
    <row r="122" ht="15" customHeight="1">
      <c r="A122" s="8" t="inlineStr">
        <is>
          <t>KSC-AU</t>
        </is>
      </c>
      <c r="B122" s="8" t="inlineStr">
        <is>
          <t>K&amp;S Corp. Ltd.</t>
        </is>
      </c>
      <c r="C122" s="8" t="n"/>
      <c r="D122" s="8" t="n"/>
      <c r="E122" s="8" t="n"/>
      <c r="F122" s="8" t="n"/>
      <c r="G122" s="8" t="n"/>
      <c r="H122" s="8" t="n"/>
      <c r="I122" s="8" t="n"/>
      <c r="J122" s="8" t="n"/>
      <c r="K122" s="8" t="n"/>
      <c r="L122" s="8" t="n"/>
      <c r="M122" s="8" t="n"/>
      <c r="N122" s="17" t="n"/>
      <c r="O122" s="17" t="n"/>
      <c r="P122" s="17" t="n"/>
      <c r="Q122" s="17" t="n"/>
      <c r="R122" s="10">
        <f>IFERROR(_xlfn.XLOOKUP($A122,Profitability!$A$5:$A$342,Profitability!$Q$5:$Q$342),"na")</f>
        <v/>
      </c>
      <c r="S122" s="10">
        <f>IFERROR(_xlfn.XLOOKUP($A122,Profitability!$A$5:$A$342,Profitability!$R$5:$R$342),"na")</f>
        <v/>
      </c>
      <c r="T122" s="8" t="inlineStr">
        <is>
          <t>Public</t>
        </is>
      </c>
      <c r="U122" s="8" t="inlineStr">
        <is>
          <t>Australia</t>
        </is>
      </c>
      <c r="V122" s="9" t="n">
        <v>1945</v>
      </c>
      <c r="W122" s="10" t="n">
        <v>1668</v>
      </c>
      <c r="X122" s="11" t="n">
        <v>744.806</v>
      </c>
      <c r="Y122" s="8" t="inlineStr">
        <is>
          <t>Pacific</t>
        </is>
      </c>
      <c r="Z122" s="8" t="inlineStr">
        <is>
          <t>Victoria (VIC)</t>
        </is>
      </c>
      <c r="AA122" s="11" t="n">
        <v>724.461017855442</v>
      </c>
      <c r="AB122" s="8" t="inlineStr">
        <is>
          <t>K&amp;S Corp. Ltd. engages in the provision of transport, logistics, contract management, warehousing, and fuel distribution services. It operates through the following segments: Australian Transport, Fuels, and New Zealand Transport. The Australian Transport segment provides logistics services to customers. The Fuel segment distributes fuels to fishing, farming, and retail customers within the Southeast of South Australia. The New Zealand Transport segment offers logistics services to customers within New Zealand. The company was founded in 1945 and is headquartered in Truganina, Australia.</t>
        </is>
      </c>
      <c r="AC122" s="8" t="inlineStr">
        <is>
          <t>Road and Rail Transportation Operators</t>
        </is>
      </c>
      <c r="AD122" s="8" t="inlineStr">
        <is>
          <t>Cargo Transportation and Infrastructure Services</t>
        </is>
      </c>
      <c r="AE122" s="8" t="inlineStr">
        <is>
          <t>Industrial Services</t>
        </is>
      </c>
      <c r="AF122" s="12" t="inlineStr">
        <is>
          <t>Road Transportation</t>
        </is>
      </c>
      <c r="AR122" t="n">
        <v>0.039201</v>
      </c>
    </row>
    <row r="123" ht="15" customHeight="1">
      <c r="A123" s="8" t="inlineStr">
        <is>
          <t>EBO-NZ</t>
        </is>
      </c>
      <c r="B123" s="8" t="inlineStr">
        <is>
          <t>EBOS Group Ltd.</t>
        </is>
      </c>
      <c r="C123" s="8" t="n"/>
      <c r="D123" s="8" t="n"/>
      <c r="E123" s="8" t="n"/>
      <c r="F123" s="8" t="n"/>
      <c r="G123" s="8" t="n"/>
      <c r="H123" s="8" t="n"/>
      <c r="I123" s="8" t="n"/>
      <c r="J123" s="8" t="n"/>
      <c r="K123" s="8" t="n"/>
      <c r="L123" s="8" t="n"/>
      <c r="M123" s="8" t="n"/>
      <c r="N123" s="17" t="n"/>
      <c r="O123" s="17" t="n"/>
      <c r="P123" s="17" t="n"/>
      <c r="Q123" s="17" t="n"/>
      <c r="R123" s="10">
        <f>IFERROR(_xlfn.XLOOKUP($A123,Profitability!$A$5:$A$342,Profitability!$Q$5:$Q$342),"na")</f>
        <v/>
      </c>
      <c r="S123" s="10">
        <f>IFERROR(_xlfn.XLOOKUP($A123,Profitability!$A$5:$A$342,Profitability!$R$5:$R$342),"na")</f>
        <v/>
      </c>
      <c r="T123" s="8" t="inlineStr">
        <is>
          <t>Public</t>
        </is>
      </c>
      <c r="U123" s="8" t="inlineStr">
        <is>
          <t>Australia</t>
        </is>
      </c>
      <c r="V123" s="9" t="n">
        <v>2013</v>
      </c>
      <c r="W123" s="10" t="n">
        <v>5700</v>
      </c>
      <c r="X123" s="11" t="n">
        <v>12266.8980000799</v>
      </c>
      <c r="Y123" s="8" t="inlineStr">
        <is>
          <t>Pacific</t>
        </is>
      </c>
      <c r="Z123" s="8" t="inlineStr">
        <is>
          <t>Victoria (VIC)</t>
        </is>
      </c>
      <c r="AA123" s="11" t="n">
        <v>7278.24513870189</v>
      </c>
      <c r="AB123" s="8" t="inlineStr">
        <is>
          <t>EBOS Group Ltd. engages in the provision of healthcare and animal care products and services. It operates through the following segments: Healthcare, Animal Care, and Corporate. The Healthcare segment incorporates the sale of healthcare products in a range of sectors, own brands, retail healthcare and wholesale activities. The Animal Care segment sells animal care products in a range of sectors, own brands, retail and wholesale activities. The Corporate segment includes net funding costs and central administration expenses. The company was founded on September 11, 1922 and is headquartered in Docklands, Australia.</t>
        </is>
      </c>
      <c r="AC123" s="8" t="inlineStr">
        <is>
          <t>Healthcare Distributors</t>
        </is>
      </c>
      <c r="AD123" s="8" t="inlineStr">
        <is>
          <t>Healthcare Support Services</t>
        </is>
      </c>
      <c r="AE123" s="8" t="inlineStr">
        <is>
          <t>Healthcare Services</t>
        </is>
      </c>
      <c r="AF123" s="12" t="inlineStr">
        <is>
          <t>Wholesale Pharmaceuticals Distributors</t>
        </is>
      </c>
      <c r="AH123" t="n">
        <v>3343</v>
      </c>
      <c r="AI123" t="n">
        <v>1</v>
      </c>
      <c r="AJ123" t="inlineStr">
        <is>
          <t>Scope 1 – Total GHG emissions 3, 4b</t>
        </is>
      </c>
      <c r="AK123" t="n">
        <v>15311</v>
      </c>
      <c r="AL123" t="n">
        <v>1</v>
      </c>
      <c r="AM123" t="inlineStr">
        <is>
          <t>Scope 2 – Electricity Total GHG emissions Location Based 4a, 5</t>
        </is>
      </c>
      <c r="AN123" t="n">
        <v>0</v>
      </c>
      <c r="AO123" t="n">
        <v>0.95</v>
      </c>
      <c r="AP123" t="inlineStr">
        <is>
          <t>Natural Gas,tCO2e,"1,924","2,009","2,007",2,-
Scope 1 – Carbon Offsets – Retired 10,tCO2e,"3,530","3,343","2,781",525,38
"Scope 2 – Electricity Total GHG emissions Location Based 4a, 5",tCO2e,"18,289","18,257","16,574","1,014",670</t>
        </is>
      </c>
      <c r="AQ123" t="n">
        <v>0</v>
      </c>
      <c r="AR123" t="n">
        <v>0.017538</v>
      </c>
      <c r="AS123" t="n">
        <v>0</v>
      </c>
    </row>
    <row r="124" ht="15" customHeight="1">
      <c r="A124" s="8" t="inlineStr">
        <is>
          <t>EWC-AU</t>
        </is>
      </c>
      <c r="B124" s="8" t="inlineStr">
        <is>
          <t>Energy World Corp. Ltd.</t>
        </is>
      </c>
      <c r="C124" s="8" t="n"/>
      <c r="D124" s="8" t="n"/>
      <c r="E124" s="8" t="n"/>
      <c r="F124" s="8" t="n"/>
      <c r="G124" s="8" t="n"/>
      <c r="H124" s="8" t="n"/>
      <c r="I124" s="8" t="n"/>
      <c r="J124" s="8" t="n"/>
      <c r="K124" s="8" t="n"/>
      <c r="L124" s="8" t="n"/>
      <c r="M124" s="8" t="n"/>
      <c r="N124" s="17" t="n"/>
      <c r="O124" s="17" t="n"/>
      <c r="P124" s="17" t="n"/>
      <c r="Q124" s="17" t="n"/>
      <c r="R124" s="10">
        <f>IFERROR(_xlfn.XLOOKUP($A124,Profitability!$A$5:$A$342,Profitability!$Q$5:$Q$342),"na")</f>
        <v/>
      </c>
      <c r="S124" s="10">
        <f>IFERROR(_xlfn.XLOOKUP($A124,Profitability!$A$5:$A$342,Profitability!$R$5:$R$342),"na")</f>
        <v/>
      </c>
      <c r="T124" s="8" t="inlineStr">
        <is>
          <t>Public</t>
        </is>
      </c>
      <c r="U124" s="8" t="inlineStr">
        <is>
          <t>Australia</t>
        </is>
      </c>
      <c r="V124" s="9" t="n">
        <v>1985</v>
      </c>
      <c r="W124" s="10" t="inlineStr">
        <is>
          <t>-</t>
        </is>
      </c>
      <c r="X124" s="11" t="n">
        <v>0</v>
      </c>
      <c r="Y124" s="8" t="inlineStr">
        <is>
          <t>Pacific</t>
        </is>
      </c>
      <c r="Z124" s="8" t="inlineStr">
        <is>
          <t>New South Wales (NSW)</t>
        </is>
      </c>
      <c r="AA124" s="11" t="n">
        <v>1187.08784493609</v>
      </c>
      <c r="AB124" s="8" t="inlineStr">
        <is>
          <t>Energy World Corp. Ltd. operates as an integrated energy company, which engages in the production and sale of power and natural gas. The company operates and maintains gas processing plants and gas pipelines. It engages in the development, design, construction and operation of power and LNG plants. The company operates through the following segments: Oil and Gas in Australia; Power in Australia; Oil and Gas in Indonesia; Power in Indonesia; and Project Development. The company was founded in 1985 and is headquartered in Sydney, Australia.</t>
        </is>
      </c>
      <c r="AC124" s="8" t="inlineStr">
        <is>
          <t>Natural Gas Utilities</t>
        </is>
      </c>
      <c r="AD124" s="8" t="inlineStr">
        <is>
          <t>Energy Utilities</t>
        </is>
      </c>
      <c r="AE124" s="8" t="inlineStr">
        <is>
          <t>Utilities</t>
        </is>
      </c>
      <c r="AF124" s="12" t="inlineStr">
        <is>
          <t>International Natural Gas Utilities</t>
        </is>
      </c>
    </row>
    <row r="125" ht="15" customHeight="1">
      <c r="A125" s="8" t="inlineStr">
        <is>
          <t>HSN-AU</t>
        </is>
      </c>
      <c r="B125" s="8" t="inlineStr">
        <is>
          <t>Hansen Technologies Ltd.</t>
        </is>
      </c>
      <c r="C125" s="8" t="n"/>
      <c r="D125" s="8" t="n"/>
      <c r="E125" s="8" t="n"/>
      <c r="F125" s="8" t="n"/>
      <c r="G125" s="8" t="n"/>
      <c r="H125" s="8" t="n"/>
      <c r="I125" s="8" t="n"/>
      <c r="J125" s="8" t="n"/>
      <c r="K125" s="8" t="n"/>
      <c r="L125" s="8" t="n"/>
      <c r="M125" s="8" t="n"/>
      <c r="N125" s="17" t="n"/>
      <c r="O125" s="17" t="n"/>
      <c r="P125" s="17" t="n"/>
      <c r="Q125" s="17" t="n"/>
      <c r="R125" s="10">
        <f>IFERROR(_xlfn.XLOOKUP($A125,Profitability!$A$5:$A$342,Profitability!$Q$5:$Q$342),"na")</f>
        <v/>
      </c>
      <c r="S125" s="10">
        <f>IFERROR(_xlfn.XLOOKUP($A125,Profitability!$A$5:$A$342,Profitability!$R$5:$R$342),"na")</f>
        <v/>
      </c>
      <c r="T125" s="8" t="inlineStr">
        <is>
          <t>Public</t>
        </is>
      </c>
      <c r="U125" s="8" t="inlineStr">
        <is>
          <t>Australia</t>
        </is>
      </c>
      <c r="V125" s="9" t="n">
        <v>2000</v>
      </c>
      <c r="W125" s="10" t="n">
        <v>1643</v>
      </c>
      <c r="X125" s="11" t="n">
        <v>392.486</v>
      </c>
      <c r="Y125" s="8" t="inlineStr">
        <is>
          <t>Pacific</t>
        </is>
      </c>
      <c r="Z125" s="8" t="inlineStr">
        <is>
          <t>Victoria (VIC)</t>
        </is>
      </c>
      <c r="AA125" s="11" t="n">
        <v>601.242014818522</v>
      </c>
      <c r="AB125" s="8" t="inlineStr">
        <is>
          <t>Hansen Technologies Ltd. engages in the development, integration, and support of billing systems software for the energy and communications sector. It operates through the Billing and Other segments. The company was founded by Kenneth A. Hansen in 1971 and is headquartered in Melbourne, Australia.</t>
        </is>
      </c>
      <c r="AC125" s="8" t="inlineStr">
        <is>
          <t>Other Electric and Natural Gas Utilities</t>
        </is>
      </c>
      <c r="AD125" s="8" t="inlineStr">
        <is>
          <t>Energy Utilities</t>
        </is>
      </c>
      <c r="AE125" s="8" t="inlineStr">
        <is>
          <t>Utilities</t>
        </is>
      </c>
      <c r="AF125" s="12" t="inlineStr">
        <is>
          <t>Utilities Industry Software</t>
        </is>
      </c>
      <c r="AH125" t="n">
        <v>86</v>
      </c>
      <c r="AI125" t="n">
        <v>1</v>
      </c>
      <c r="AJ125" t="inlineStr">
        <is>
          <t>Scope 1(2),–,77.8,7.8,85.6</t>
        </is>
      </c>
      <c r="AK125" t="n">
        <v>1631</v>
      </c>
      <c r="AL125" t="n">
        <v>1</v>
      </c>
      <c r="AM125" t="inlineStr">
        <is>
          <t>Scope 2(3),30.9,"1,568.3",32.1,"1,631.3"</t>
        </is>
      </c>
      <c r="AN125" t="n">
        <v>11378</v>
      </c>
      <c r="AO125" t="n">
        <v>1</v>
      </c>
      <c r="AP125" t="inlineStr">
        <is>
          <t>Scope 3(4),"2,824.6","5,934.0","2,619.5","11,378.2"</t>
        </is>
      </c>
      <c r="AQ125" t="n">
        <v>4</v>
      </c>
      <c r="AR125" t="n">
        <v>0.110384</v>
      </c>
      <c r="AS125" t="n">
        <v>0.010191</v>
      </c>
    </row>
    <row r="126" ht="15" customHeight="1">
      <c r="A126" s="8" t="inlineStr">
        <is>
          <t>IMD-AU</t>
        </is>
      </c>
      <c r="B126" s="8" t="inlineStr">
        <is>
          <t>Imdex Ltd.</t>
        </is>
      </c>
      <c r="C126" s="8" t="n"/>
      <c r="D126" s="8" t="n"/>
      <c r="E126" s="8" t="n"/>
      <c r="F126" s="8" t="n"/>
      <c r="G126" s="8" t="n"/>
      <c r="H126" s="8" t="n"/>
      <c r="I126" s="8" t="n"/>
      <c r="J126" s="8" t="n"/>
      <c r="K126" s="8" t="n"/>
      <c r="L126" s="8" t="n"/>
      <c r="M126" s="8" t="n"/>
      <c r="N126" s="17" t="n"/>
      <c r="O126" s="17" t="n"/>
      <c r="P126" s="17" t="n"/>
      <c r="Q126" s="17" t="n"/>
      <c r="R126" s="10">
        <f>IFERROR(_xlfn.XLOOKUP($A126,Profitability!$A$5:$A$342,Profitability!$Q$5:$Q$342),"na")</f>
        <v/>
      </c>
      <c r="S126" s="10">
        <f>IFERROR(_xlfn.XLOOKUP($A126,Profitability!$A$5:$A$342,Profitability!$R$5:$R$342),"na")</f>
        <v/>
      </c>
      <c r="T126" s="8" t="inlineStr">
        <is>
          <t>Public</t>
        </is>
      </c>
      <c r="U126" s="8" t="inlineStr">
        <is>
          <t>Australia</t>
        </is>
      </c>
      <c r="V126" s="9" t="n">
        <v>1980</v>
      </c>
      <c r="W126" s="10" t="n">
        <v>816</v>
      </c>
      <c r="X126" s="11" t="n">
        <v>431.394999999999</v>
      </c>
      <c r="Y126" s="8" t="inlineStr">
        <is>
          <t>Pacific</t>
        </is>
      </c>
      <c r="Z126" s="8" t="inlineStr">
        <is>
          <t>Western Australia (WA)</t>
        </is>
      </c>
      <c r="AA126" s="11" t="n">
        <v>830.148020460259</v>
      </c>
      <c r="AB126" s="8" t="inlineStr">
        <is>
          <t>Imdex Ltd. engages in the provision of mining equipment, technology, and services. It operates through the following geographical segments: Americas, Asia Pacific, and Africa and Europe. The company was founded on December 17, 1980, and is headquartered in Balcatta, Australia.</t>
        </is>
      </c>
      <c r="AC126" s="8" t="inlineStr">
        <is>
          <t>Industrial Machine Parts and Support Equipment</t>
        </is>
      </c>
      <c r="AD126" s="8" t="inlineStr">
        <is>
          <t>Machinery Manufacturing</t>
        </is>
      </c>
      <c r="AE126" s="8" t="inlineStr">
        <is>
          <t>Industrial Manufacturing</t>
        </is>
      </c>
      <c r="AF126" s="12" t="inlineStr">
        <is>
          <t>Monitoring and Control Sensor/Instrument Products</t>
        </is>
      </c>
      <c r="AH126" t="n">
        <v>2006</v>
      </c>
      <c r="AI126" t="n">
        <v>1</v>
      </c>
      <c r="AJ126" t="inlineStr">
        <is>
          <t>"In FY25 IMDEX’s Scope 1 and 2 GHG emissions were 2,831 metric tonnes of carbon dioxide"
"equivalent (tCO2-e). This included 2,006 tCO2-e Scope 1 and 825 tCO2-e Scope 2 (location-"
"based). For FY25, IMDEX has also measured market-based Scope 2 GHG emissions which"</t>
        </is>
      </c>
      <c r="AK126" t="n">
        <v>825</v>
      </c>
      <c r="AL126" t="n">
        <v>1</v>
      </c>
      <c r="AM126" t="inlineStr">
        <is>
          <t>"In FY25 IMDEX’s Scope 1 and 2 GHG emissions were 2,831 metric tonnes of carbon dioxide"
"equivalent (tCO2-e). This included 2,006 tCO2-e Scope 1 and 825 tCO2-e Scope 2 (location-"
"based). For FY25, IMDEX has also measured market-based Scope 2 GHG emissions which"</t>
        </is>
      </c>
      <c r="AN126" t="n">
        <v>0</v>
      </c>
      <c r="AQ126" t="n">
        <v>0</v>
      </c>
      <c r="AR126" t="n">
        <v>0.127934</v>
      </c>
      <c r="AS126" t="n">
        <v>0</v>
      </c>
    </row>
    <row r="127" ht="15" customHeight="1">
      <c r="A127" s="8" t="inlineStr">
        <is>
          <t>LYC-AU</t>
        </is>
      </c>
      <c r="B127" s="8" t="inlineStr">
        <is>
          <t>Lynas Rare Earths Ltd.</t>
        </is>
      </c>
      <c r="C127" s="8" t="n"/>
      <c r="D127" s="8" t="n"/>
      <c r="E127" s="8" t="n"/>
      <c r="F127" s="8" t="n"/>
      <c r="G127" s="8" t="n"/>
      <c r="H127" s="8" t="n"/>
      <c r="I127" s="8" t="n"/>
      <c r="J127" s="8" t="n"/>
      <c r="K127" s="8" t="n"/>
      <c r="L127" s="8" t="n"/>
      <c r="M127" s="8" t="n"/>
      <c r="N127" s="17" t="n"/>
      <c r="O127" s="17" t="n"/>
      <c r="P127" s="17" t="n"/>
      <c r="Q127" s="17" t="n"/>
      <c r="R127" s="10">
        <f>IFERROR(_xlfn.XLOOKUP($A127,Profitability!$A$5:$A$342,Profitability!$Q$5:$Q$342),"na")</f>
        <v/>
      </c>
      <c r="S127" s="10">
        <f>IFERROR(_xlfn.XLOOKUP($A127,Profitability!$A$5:$A$342,Profitability!$R$5:$R$342),"na")</f>
        <v/>
      </c>
      <c r="T127" s="8" t="inlineStr">
        <is>
          <t>Public</t>
        </is>
      </c>
      <c r="U127" s="8" t="inlineStr">
        <is>
          <t>Australia</t>
        </is>
      </c>
      <c r="V127" s="9" t="n">
        <v>1983</v>
      </c>
      <c r="W127" s="10" t="n">
        <v>1127</v>
      </c>
      <c r="X127" s="11" t="n">
        <v>556.5119999999999</v>
      </c>
      <c r="Y127" s="8" t="inlineStr">
        <is>
          <t>Pacific</t>
        </is>
      </c>
      <c r="Z127" s="8" t="inlineStr">
        <is>
          <t>Western Australia (WA)</t>
        </is>
      </c>
      <c r="AA127" s="11" t="n">
        <v>2944.21807256473</v>
      </c>
      <c r="AB127" s="8" t="inlineStr">
        <is>
          <t>Lynas Rare Earths Ltd. engages in the production of rare earth minerals. It focuses on the exploration, development, mining, and processing of rare earth deposits. The company was founded by Nicholas Anthony Curtis on May 23, 1983 and is headquartered in Perth, Australia.</t>
        </is>
      </c>
      <c r="AC127" s="8" t="inlineStr">
        <is>
          <t>Base Metal Mining</t>
        </is>
      </c>
      <c r="AD127" s="8" t="inlineStr">
        <is>
          <t>Metal Ore Mining</t>
        </is>
      </c>
      <c r="AE127" s="8" t="inlineStr">
        <is>
          <t>Mining and Mineral Products</t>
        </is>
      </c>
      <c r="AF127" s="12" t="inlineStr">
        <is>
          <t>Rare Earth Elements Ore Mining</t>
        </is>
      </c>
      <c r="AH127" t="n">
        <v>80809</v>
      </c>
      <c r="AI127" t="n">
        <v>1</v>
      </c>
      <c r="AJ127" t="inlineStr">
        <is>
          <t>Scope 1,"19,697","27,420","29,990","28,523","42,451**"</t>
        </is>
      </c>
      <c r="AK127" t="n">
        <v>68566</v>
      </c>
      <c r="AL127" t="n">
        <v>1</v>
      </c>
      <c r="AM127" t="inlineStr">
        <is>
          <t>Scope 2,"43,917","42,831","43,580","42,592","68,566"</t>
        </is>
      </c>
      <c r="AN127" t="n">
        <v>0</v>
      </c>
      <c r="AQ127" t="n">
        <v>2</v>
      </c>
      <c r="AR127" t="n">
        <v>0.014357</v>
      </c>
      <c r="AS127" t="n">
        <v>0.003594</v>
      </c>
    </row>
    <row r="128" ht="15" customHeight="1">
      <c r="A128" s="8" t="inlineStr">
        <is>
          <t>CMW-AU</t>
        </is>
      </c>
      <c r="B128" s="8" t="inlineStr">
        <is>
          <t>Cromwell Property Group</t>
        </is>
      </c>
      <c r="C128" s="8" t="n"/>
      <c r="D128" s="8" t="n"/>
      <c r="E128" s="8" t="n"/>
      <c r="F128" s="8" t="n"/>
      <c r="G128" s="8" t="n"/>
      <c r="H128" s="8" t="n"/>
      <c r="I128" s="8" t="n"/>
      <c r="J128" s="8" t="n"/>
      <c r="K128" s="8" t="n"/>
      <c r="L128" s="8" t="n"/>
      <c r="M128" s="8" t="n"/>
      <c r="N128" s="17" t="n"/>
      <c r="O128" s="17" t="n"/>
      <c r="P128" s="17" t="n"/>
      <c r="Q128" s="17" t="n"/>
      <c r="R128" s="10">
        <f>IFERROR(_xlfn.XLOOKUP($A128,Profitability!$A$5:$A$342,Profitability!$Q$5:$Q$342),"na")</f>
        <v/>
      </c>
      <c r="S128" s="10">
        <f>IFERROR(_xlfn.XLOOKUP($A128,Profitability!$A$5:$A$342,Profitability!$R$5:$R$342),"na")</f>
        <v/>
      </c>
      <c r="T128" s="8" t="inlineStr">
        <is>
          <t>Public</t>
        </is>
      </c>
      <c r="U128" s="8" t="inlineStr">
        <is>
          <t>Australia</t>
        </is>
      </c>
      <c r="V128" s="9" t="n">
        <v>1970</v>
      </c>
      <c r="W128" s="10" t="n">
        <v>350</v>
      </c>
      <c r="X128" s="11" t="n">
        <v>177.399999999999</v>
      </c>
      <c r="Y128" s="8" t="inlineStr">
        <is>
          <t>Pacific</t>
        </is>
      </c>
      <c r="Z128" s="8" t="inlineStr">
        <is>
          <t>Queensland (QLD)</t>
        </is>
      </c>
      <c r="AA128" s="11" t="n">
        <v>2270.40005595745</v>
      </c>
      <c r="AB128" s="8" t="inlineStr">
        <is>
          <t>Cromwell Property Group is a real estate investment trust, which engages in the property investment and funds management business. It operates through the following segments: Funds and Asset Management, Co-Investments, and Investment Portfolio. The Funds and Asset Management segment represents activities in relation to the establishment and management of external funds for institutional and retail investors. The Co-Investments segment includes Cromwell's investments in assets warehoused whilst being repositioned for deployment into the fund and asset management business and assets it may not fully own or over which it cannot exercise unilateral control. The Investment Portfolio segment consists of the ownership of investment properties located in Australia. The company was founded in 1970 and is headquartered in Brisbane, Australia.</t>
        </is>
      </c>
      <c r="AC128" s="8" t="inlineStr">
        <is>
          <t>Equity REITs</t>
        </is>
      </c>
      <c r="AD128" s="8" t="inlineStr">
        <is>
          <t>Real Estate Investment Trusts (REITs)</t>
        </is>
      </c>
      <c r="AE128" s="8" t="inlineStr">
        <is>
          <t>Real Estate</t>
        </is>
      </c>
      <c r="AF128" s="12" t="inlineStr">
        <is>
          <t>Equity REITs</t>
        </is>
      </c>
      <c r="AH128" t="n">
        <v>50679</v>
      </c>
      <c r="AI128" t="n">
        <v>0.9</v>
      </c>
      <c r="AJ128" t="inlineStr">
        <is>
          <t>,,,,,,,,,Property Trust
EMISSIONS INTENSITY,,,,,,,,0.27kL/m2,66%
,,,,,,,,,</t>
        </is>
      </c>
      <c r="AK128" t="n">
        <v>28416</v>
      </c>
      <c r="AL128" t="n">
        <v>0.9</v>
      </c>
      <c r="AM128" t="inlineStr">
        <is>
          <t>,,,,,,,,,Property Trust
EMISSIONS INTENSITY,,,,,,,,0.27kL/m2,66%
,,,,,,,,,</t>
        </is>
      </c>
      <c r="AN128" t="n">
        <v>135911</v>
      </c>
      <c r="AQ128" t="n">
        <v>19</v>
      </c>
      <c r="AR128" t="n">
        <v>-0.800451</v>
      </c>
      <c r="AS128" t="n">
        <v>0.107103</v>
      </c>
    </row>
    <row r="129" ht="15" customHeight="1">
      <c r="A129" s="8" t="inlineStr">
        <is>
          <t>NOU-AU</t>
        </is>
      </c>
      <c r="B129" s="8" t="inlineStr">
        <is>
          <t>Noumi Ltd.</t>
        </is>
      </c>
      <c r="C129" s="8" t="n"/>
      <c r="D129" s="8" t="n"/>
      <c r="E129" s="8" t="n"/>
      <c r="F129" s="8" t="n"/>
      <c r="G129" s="8" t="n"/>
      <c r="H129" s="8" t="n"/>
      <c r="I129" s="8" t="n"/>
      <c r="J129" s="8" t="n"/>
      <c r="K129" s="8" t="n"/>
      <c r="L129" s="8" t="n"/>
      <c r="M129" s="8" t="n"/>
      <c r="N129" s="17" t="n"/>
      <c r="O129" s="17" t="n"/>
      <c r="P129" s="17" t="n"/>
      <c r="Q129" s="17" t="n"/>
      <c r="R129" s="10">
        <f>IFERROR(_xlfn.XLOOKUP($A129,Profitability!$A$5:$A$342,Profitability!$Q$5:$Q$342),"na")</f>
        <v/>
      </c>
      <c r="S129" s="10">
        <f>IFERROR(_xlfn.XLOOKUP($A129,Profitability!$A$5:$A$342,Profitability!$R$5:$R$342),"na")</f>
        <v/>
      </c>
      <c r="T129" s="8" t="inlineStr">
        <is>
          <t>Public</t>
        </is>
      </c>
      <c r="U129" s="8" t="inlineStr">
        <is>
          <t>Australia</t>
        </is>
      </c>
      <c r="V129" s="9" t="n">
        <v>1984</v>
      </c>
      <c r="W129" s="10" t="n">
        <v>500</v>
      </c>
      <c r="X129" s="11" t="n">
        <v>595.835</v>
      </c>
      <c r="Y129" s="8" t="inlineStr">
        <is>
          <t>Pacific</t>
        </is>
      </c>
      <c r="Z129" s="8" t="inlineStr">
        <is>
          <t>New South Wales (NSW)</t>
        </is>
      </c>
      <c r="AA129" s="11" t="n">
        <v>265.174006535615</v>
      </c>
      <c r="AB129" s="8" t="inlineStr">
        <is>
          <t>Noumi Ltd. engages in the manufacture and sale of food products. It operates through the Dairy and Nutritionals and Plant Based Milks segments. The Dairy and Nutritionals segment include dairy milk beverage, nutritional products, and performance and adult nutritional powders. The Plant Based Milks segment refers to the liquid stocks, soy, rice, and almond beverages. The company was founded in 1990 and is headquartered in Ingleburn, Australia.</t>
        </is>
      </c>
      <c r="AC129" s="8" t="inlineStr">
        <is>
          <t>Food Production</t>
        </is>
      </c>
      <c r="AD129" s="8" t="inlineStr">
        <is>
          <t>Food and Beverage Production</t>
        </is>
      </c>
      <c r="AE129" s="8" t="inlineStr">
        <is>
          <t>Food and Tobacco Production</t>
        </is>
      </c>
      <c r="AF129" s="12" t="inlineStr">
        <is>
          <t>Dairy and Dairy Alternative Production</t>
        </is>
      </c>
      <c r="AR129" t="n">
        <v>-0.251754</v>
      </c>
    </row>
    <row r="130" ht="15" customHeight="1">
      <c r="A130" s="8" t="inlineStr">
        <is>
          <t>GRR-AU</t>
        </is>
      </c>
      <c r="B130" s="8" t="inlineStr">
        <is>
          <t>Grange Resources Ltd.</t>
        </is>
      </c>
      <c r="C130" s="8" t="n"/>
      <c r="D130" s="8" t="n"/>
      <c r="E130" s="8" t="n"/>
      <c r="F130" s="8" t="n"/>
      <c r="G130" s="8" t="n"/>
      <c r="H130" s="8" t="n"/>
      <c r="I130" s="8" t="n"/>
      <c r="J130" s="8" t="n"/>
      <c r="K130" s="8" t="n"/>
      <c r="L130" s="8" t="n"/>
      <c r="M130" s="8" t="n"/>
      <c r="N130" s="17" t="n"/>
      <c r="O130" s="17" t="n"/>
      <c r="P130" s="10" t="n">
        <v>231857</v>
      </c>
      <c r="Q130" s="10" t="n">
        <v>29449</v>
      </c>
      <c r="R130" s="10">
        <f>IFERROR(_xlfn.XLOOKUP($A130,Profitability!$A$5:$A$342,Profitability!$Q$5:$Q$342),"na")</f>
        <v/>
      </c>
      <c r="S130" s="10">
        <f>IFERROR(_xlfn.XLOOKUP($A130,Profitability!$A$5:$A$342,Profitability!$R$5:$R$342),"na")</f>
        <v/>
      </c>
      <c r="T130" s="8" t="inlineStr">
        <is>
          <t>Public</t>
        </is>
      </c>
      <c r="U130" s="8" t="inlineStr">
        <is>
          <t>Australia</t>
        </is>
      </c>
      <c r="V130" s="9" t="n">
        <v>1985</v>
      </c>
      <c r="W130" s="10" t="inlineStr">
        <is>
          <t>-</t>
        </is>
      </c>
      <c r="X130" s="11" t="n">
        <v>520.804999999999</v>
      </c>
      <c r="Y130" s="8" t="inlineStr">
        <is>
          <t>Pacific</t>
        </is>
      </c>
      <c r="Z130" s="8" t="inlineStr">
        <is>
          <t>Tasmania (TAS)</t>
        </is>
      </c>
      <c r="AA130" s="11" t="n">
        <v>1344.09095830864</v>
      </c>
      <c r="AB130" s="8" t="inlineStr">
        <is>
          <t>Grange Resources Ltd. engages in the mining, processing, exploration, evaluation, and development of mineral resources and iron ore. It operates through the Ore Mining and Property Development segments. The company was founded on May 23, 1985, and is headquartered in Burnie, Australia.</t>
        </is>
      </c>
      <c r="AC130" s="8" t="inlineStr">
        <is>
          <t>Base Metal Mining</t>
        </is>
      </c>
      <c r="AD130" s="8" t="inlineStr">
        <is>
          <t>Metal Ore Mining</t>
        </is>
      </c>
      <c r="AE130" s="8" t="inlineStr">
        <is>
          <t>Mining and Mineral Products</t>
        </is>
      </c>
      <c r="AF130" s="12" t="inlineStr">
        <is>
          <t>Other Base Metal Ore Mining</t>
        </is>
      </c>
      <c r="AR130" t="n">
        <v>0.11242</v>
      </c>
    </row>
    <row r="131" ht="15" customHeight="1">
      <c r="A131" s="8" t="inlineStr">
        <is>
          <t>WGX-AU</t>
        </is>
      </c>
      <c r="B131" s="8" t="inlineStr">
        <is>
          <t>Westgold Resources Ltd.</t>
        </is>
      </c>
      <c r="C131" s="8" t="n"/>
      <c r="D131" s="8" t="n"/>
      <c r="E131" s="8" t="n"/>
      <c r="F131" s="8" t="n"/>
      <c r="G131" s="8" t="n"/>
      <c r="H131" s="8" t="n"/>
      <c r="I131" s="8" t="n"/>
      <c r="J131" s="8" t="n"/>
      <c r="K131" s="8" t="n"/>
      <c r="L131" s="8" t="n"/>
      <c r="M131" s="8" t="n"/>
      <c r="N131" s="17" t="n"/>
      <c r="O131" s="17" t="n"/>
      <c r="P131" s="10" t="n">
        <v>144961</v>
      </c>
      <c r="Q131" s="17" t="n">
        <v>883</v>
      </c>
      <c r="R131" s="10">
        <f>IFERROR(_xlfn.XLOOKUP($A131,Profitability!$A$5:$A$342,Profitability!$Q$5:$Q$342),"na")</f>
        <v/>
      </c>
      <c r="S131" s="10">
        <f>IFERROR(_xlfn.XLOOKUP($A131,Profitability!$A$5:$A$342,Profitability!$R$5:$R$342),"na")</f>
        <v/>
      </c>
      <c r="T131" s="8" t="inlineStr">
        <is>
          <t>Public</t>
        </is>
      </c>
      <c r="U131" s="8" t="inlineStr">
        <is>
          <t>Australia</t>
        </is>
      </c>
      <c r="V131" s="9" t="n">
        <v>1987</v>
      </c>
      <c r="W131" s="10" t="n">
        <v>1572</v>
      </c>
      <c r="X131" s="11" t="n">
        <v>1360.299</v>
      </c>
      <c r="Y131" s="8" t="inlineStr">
        <is>
          <t>Pacific</t>
        </is>
      </c>
      <c r="Z131" s="8" t="inlineStr">
        <is>
          <t>Western Australia (WA)</t>
        </is>
      </c>
      <c r="AA131" s="11" t="n">
        <v>3205.01007899233</v>
      </c>
      <c r="AB131" s="8" t="inlineStr">
        <is>
          <t>Westgold Resources Ltd. engages in the exploration of mineral properties. It focuses on exploring gold, copper, and lead-zinc deposits. The company operates through the following geographical segments: Bryah, Murchison, and Other. The Bryah segment consists of mining, treatment, exploration, and development of gold assets in Bryah. The Murchison segment consists of mining, treatment, exploration, and development of gold assets in Murchison. The Other segment refers to exploration and development of other mineral assets and contract mining services. Westgold Resources was founded on July 27,1987 and is headquartered in West Perth, Australia.</t>
        </is>
      </c>
      <c r="AC131" s="8" t="inlineStr">
        <is>
          <t>Precious Metal Mining</t>
        </is>
      </c>
      <c r="AD131" s="8" t="inlineStr">
        <is>
          <t>Metal Ore Mining</t>
        </is>
      </c>
      <c r="AE131" s="8" t="inlineStr">
        <is>
          <t>Mining and Mineral Products</t>
        </is>
      </c>
      <c r="AF131" s="12" t="inlineStr">
        <is>
          <t>Asia/Pacific Gold Mining</t>
        </is>
      </c>
      <c r="AH131" t="n">
        <v>144964</v>
      </c>
      <c r="AI131" t="n">
        <v>0.9</v>
      </c>
      <c r="AJ131" t="inlineStr">
        <is>
          <t>Total,,t CO2-e,,"59,259",,"58,620","27,085","144,964"</t>
        </is>
      </c>
      <c r="AK131" t="n">
        <v>883</v>
      </c>
      <c r="AL131" t="n">
        <v>0.9</v>
      </c>
      <c r="AM131" t="inlineStr">
        <is>
          <t>Total,,765,–,–,118,883</t>
        </is>
      </c>
      <c r="AN131" t="n">
        <v>305000</v>
      </c>
      <c r="AO131" t="n">
        <v>0.85</v>
      </c>
      <c r="AP131" t="inlineStr">
        <is>
          <t>305-2,Energy indirect (Scope 2) GHG emissions,60
305-3,Other indirect (Scope 3) GHG emissions,N/A
305-4,GHG emissions intensity,60</t>
        </is>
      </c>
      <c r="AQ131" t="n">
        <v>0</v>
      </c>
      <c r="AR131" t="n">
        <v>0.025548</v>
      </c>
      <c r="AS131" t="n">
        <v>0</v>
      </c>
    </row>
    <row r="132" ht="15" customHeight="1">
      <c r="A132" s="8" t="inlineStr">
        <is>
          <t>PDN-AU</t>
        </is>
      </c>
      <c r="B132" s="8" t="inlineStr">
        <is>
          <t>Paladin Energy Ltd.</t>
        </is>
      </c>
      <c r="C132" s="8" t="n"/>
      <c r="D132" s="8" t="n"/>
      <c r="E132" s="8" t="n"/>
      <c r="F132" s="8" t="n"/>
      <c r="G132" s="8" t="n"/>
      <c r="H132" s="8" t="n"/>
      <c r="I132" s="8" t="n"/>
      <c r="J132" s="8" t="n"/>
      <c r="K132" s="8" t="n"/>
      <c r="L132" s="8" t="n"/>
      <c r="M132" s="8" t="n"/>
      <c r="N132" s="17" t="n"/>
      <c r="O132" s="17" t="n"/>
      <c r="P132" s="17" t="n"/>
      <c r="Q132" s="17" t="n"/>
      <c r="R132" s="10">
        <f>IFERROR(_xlfn.XLOOKUP($A132,Profitability!$A$5:$A$342,Profitability!$Q$5:$Q$342),"na")</f>
        <v/>
      </c>
      <c r="S132" s="10">
        <f>IFERROR(_xlfn.XLOOKUP($A132,Profitability!$A$5:$A$342,Profitability!$R$5:$R$342),"na")</f>
        <v/>
      </c>
      <c r="T132" s="8" t="inlineStr">
        <is>
          <t>Public</t>
        </is>
      </c>
      <c r="U132" s="8" t="inlineStr">
        <is>
          <t>Australia</t>
        </is>
      </c>
      <c r="V132" s="9" t="n">
        <v>1993</v>
      </c>
      <c r="W132" s="10" t="inlineStr">
        <is>
          <t>-</t>
        </is>
      </c>
      <c r="X132" s="11" t="n">
        <v>274.347588220613</v>
      </c>
      <c r="Y132" s="8" t="inlineStr">
        <is>
          <t>Pacific</t>
        </is>
      </c>
      <c r="Z132" s="8" t="inlineStr">
        <is>
          <t>Western Australia (WA)</t>
        </is>
      </c>
      <c r="AA132" s="11" t="n">
        <v>1717.98890326732</v>
      </c>
      <c r="AB132" s="8" t="inlineStr">
        <is>
          <t>Paladin Energy Ltd. engages in the development and operation of uranium mines. It operates through the following segments: Exploration, Namibia, and Australia. The Exploration segment focuses on developing, exploration, and evaluation projects in Australia and Canada. The Namibia segment is involved in the production and sale of uranium from the mines located in these geographic regions. The Australia segment refers to the company sales and marketing, and corporate, and administration. The company was founded by John Borshoff on September 24, 1993 and is headquartered in Perth, Australia.</t>
        </is>
      </c>
      <c r="AC132" s="8" t="inlineStr">
        <is>
          <t>Uranium Mining</t>
        </is>
      </c>
      <c r="AD132" s="8" t="inlineStr">
        <is>
          <t>Coal and Uranium Mining</t>
        </is>
      </c>
      <c r="AE132" s="8" t="inlineStr">
        <is>
          <t>Upstream Energy</t>
        </is>
      </c>
      <c r="AF132" s="12" t="inlineStr">
        <is>
          <t>Uranium Mining</t>
        </is>
      </c>
      <c r="AR132" t="n">
        <v>-0.251238</v>
      </c>
    </row>
    <row r="133" ht="15" customHeight="1">
      <c r="A133" s="8" t="inlineStr">
        <is>
          <t>RRL-AU</t>
        </is>
      </c>
      <c r="B133" s="8" t="inlineStr">
        <is>
          <t>Regis Resources Ltd.</t>
        </is>
      </c>
      <c r="C133" s="8" t="n"/>
      <c r="D133" s="8" t="n"/>
      <c r="E133" s="8" t="n"/>
      <c r="F133" s="8" t="n"/>
      <c r="G133" s="8" t="n"/>
      <c r="H133" s="8" t="n"/>
      <c r="I133" s="8" t="n"/>
      <c r="J133" s="8" t="n"/>
      <c r="K133" s="8" t="n"/>
      <c r="L133" s="8" t="n"/>
      <c r="M133" s="8" t="n"/>
      <c r="N133" s="17" t="n"/>
      <c r="O133" s="17" t="n"/>
      <c r="P133" s="10" t="n">
        <v>206312</v>
      </c>
      <c r="Q133" s="17" t="n">
        <v>56</v>
      </c>
      <c r="R133" s="10">
        <f>IFERROR(_xlfn.XLOOKUP($A133,Profitability!$A$5:$A$342,Profitability!$Q$5:$Q$342),"na")</f>
        <v/>
      </c>
      <c r="S133" s="10">
        <f>IFERROR(_xlfn.XLOOKUP($A133,Profitability!$A$5:$A$342,Profitability!$R$5:$R$342),"na")</f>
        <v/>
      </c>
      <c r="T133" s="8" t="inlineStr">
        <is>
          <t>Public</t>
        </is>
      </c>
      <c r="U133" s="8" t="inlineStr">
        <is>
          <t>Australia</t>
        </is>
      </c>
      <c r="V133" s="9" t="n">
        <v>1986</v>
      </c>
      <c r="W133" s="10" t="n">
        <v>1104</v>
      </c>
      <c r="X133" s="11" t="n">
        <v>1647.41199999999</v>
      </c>
      <c r="Y133" s="8" t="inlineStr">
        <is>
          <t>Pacific</t>
        </is>
      </c>
      <c r="Z133" s="8" t="inlineStr">
        <is>
          <t>Western Australia (WA)</t>
        </is>
      </c>
      <c r="AA133" s="11" t="n">
        <v>2382.19005871269</v>
      </c>
      <c r="AB133" s="8" t="inlineStr">
        <is>
          <t>Regis Resources Ltd. is a mineral exploration and production company, which engages in the exploration, evaluation and development of gold projects. It operates through the Duketon and Tropicana segments. The company was founded on May 12, 1986 and is headquartered in Subiaco, Australia.</t>
        </is>
      </c>
      <c r="AC133" s="8" t="inlineStr">
        <is>
          <t>Precious Metal Mining</t>
        </is>
      </c>
      <c r="AD133" s="8" t="inlineStr">
        <is>
          <t>Metal Ore Mining</t>
        </is>
      </c>
      <c r="AE133" s="8" t="inlineStr">
        <is>
          <t>Mining and Mineral Products</t>
        </is>
      </c>
      <c r="AF133" s="12" t="inlineStr">
        <is>
          <t>Asia/Pacific Gold Mining</t>
        </is>
      </c>
      <c r="AH133" t="n">
        <v>206313</v>
      </c>
      <c r="AI133" t="n">
        <v>0.9</v>
      </c>
      <c r="AJ133" t="inlineStr">
        <is>
          <t>Direct Scope 1 GHG Emissions,(tCO2-e),"206,313","228,723"</t>
        </is>
      </c>
      <c r="AK133" t="n">
        <v>56</v>
      </c>
      <c r="AL133" t="n">
        <v>0.9</v>
      </c>
      <c r="AM133" t="inlineStr">
        <is>
          <t>Indirect Scope 2 GHG Emissions,(tCO2-e),55.8,48.6</t>
        </is>
      </c>
      <c r="AN133" t="n">
        <v>0</v>
      </c>
      <c r="AQ133" t="n">
        <v>5</v>
      </c>
      <c r="AR133" t="n">
        <v>0.154397</v>
      </c>
      <c r="AS133" t="n">
        <v>0.003035</v>
      </c>
    </row>
    <row r="134" ht="15" customHeight="1">
      <c r="A134" s="8" t="inlineStr">
        <is>
          <t>AXI-AU</t>
        </is>
      </c>
      <c r="B134" s="8" t="inlineStr">
        <is>
          <t>Axiom Properties Ltd.</t>
        </is>
      </c>
      <c r="C134" s="8" t="n"/>
      <c r="D134" s="8" t="n"/>
      <c r="E134" s="8" t="n"/>
      <c r="F134" s="8" t="n"/>
      <c r="G134" s="8" t="n"/>
      <c r="H134" s="8" t="n"/>
      <c r="I134" s="8" t="n"/>
      <c r="J134" s="8" t="n"/>
      <c r="K134" s="8" t="n"/>
      <c r="L134" s="8" t="n"/>
      <c r="M134" s="8" t="n"/>
      <c r="N134" s="17" t="n"/>
      <c r="O134" s="17" t="n"/>
      <c r="P134" s="17" t="n"/>
      <c r="Q134" s="17" t="n"/>
      <c r="R134" s="10">
        <f>IFERROR(_xlfn.XLOOKUP($A134,Profitability!$A$5:$A$342,Profitability!$Q$5:$Q$342),"na")</f>
        <v/>
      </c>
      <c r="S134" s="10">
        <f>IFERROR(_xlfn.XLOOKUP($A134,Profitability!$A$5:$A$342,Profitability!$R$5:$R$342),"na")</f>
        <v/>
      </c>
      <c r="T134" s="8" t="inlineStr">
        <is>
          <t>Public</t>
        </is>
      </c>
      <c r="U134" s="8" t="inlineStr">
        <is>
          <t>Australia</t>
        </is>
      </c>
      <c r="V134" s="9" t="n">
        <v>1983</v>
      </c>
      <c r="W134" s="10" t="n">
        <v>900</v>
      </c>
      <c r="X134" s="11" t="n">
        <v>4.27499999999999</v>
      </c>
      <c r="Y134" s="8" t="inlineStr">
        <is>
          <t>Pacific</t>
        </is>
      </c>
      <c r="Z134" s="8" t="inlineStr">
        <is>
          <t>South Australia (SA)</t>
        </is>
      </c>
      <c r="AA134" s="11" t="n">
        <v>15.3230003776586</v>
      </c>
      <c r="AB134" s="8" t="inlineStr">
        <is>
          <t>Axiom Properties Ltd. engages in the development of commercial and industrial properties. It operates through Investment Property and Development segments. The company was founded on April 12, 1983 and is headquartered in Adelaide, Australia.</t>
        </is>
      </c>
      <c r="AC134" s="8" t="inlineStr">
        <is>
          <t>Other Real Estate Investment and Services</t>
        </is>
      </c>
      <c r="AD134" s="8" t="inlineStr">
        <is>
          <t>Real Estate Investment and Services</t>
        </is>
      </c>
      <c r="AE134" s="8" t="inlineStr">
        <is>
          <t>Real Estate</t>
        </is>
      </c>
      <c r="AF134" s="12" t="inlineStr">
        <is>
          <t>Real Estate Developers</t>
        </is>
      </c>
      <c r="AR134" t="n">
        <v>-0.525614</v>
      </c>
    </row>
    <row r="135" ht="15" customHeight="1">
      <c r="A135" s="8" t="inlineStr">
        <is>
          <t>AGI-AU</t>
        </is>
      </c>
      <c r="B135" s="8" t="inlineStr">
        <is>
          <t>Ainsworth Game Technology Ltd.</t>
        </is>
      </c>
      <c r="C135" s="8" t="n"/>
      <c r="D135" s="8" t="n"/>
      <c r="E135" s="8" t="n"/>
      <c r="F135" s="8" t="n"/>
      <c r="G135" s="8" t="n"/>
      <c r="H135" s="8" t="n"/>
      <c r="I135" s="8" t="n"/>
      <c r="J135" s="8" t="n"/>
      <c r="K135" s="8" t="n"/>
      <c r="L135" s="8" t="n"/>
      <c r="M135" s="8" t="n"/>
      <c r="N135" s="17" t="n"/>
      <c r="O135" s="17" t="n"/>
      <c r="P135" s="17" t="n"/>
      <c r="Q135" s="17" t="n"/>
      <c r="R135" s="10">
        <f>IFERROR(_xlfn.XLOOKUP($A135,Profitability!$A$5:$A$342,Profitability!$Q$5:$Q$342),"na")</f>
        <v/>
      </c>
      <c r="S135" s="10">
        <f>IFERROR(_xlfn.XLOOKUP($A135,Profitability!$A$5:$A$342,Profitability!$R$5:$R$342),"na")</f>
        <v/>
      </c>
      <c r="T135" s="8" t="inlineStr">
        <is>
          <t>Public</t>
        </is>
      </c>
      <c r="U135" s="8" t="inlineStr">
        <is>
          <t>Australia</t>
        </is>
      </c>
      <c r="V135" s="9" t="n">
        <v>1995</v>
      </c>
      <c r="W135" s="10" t="n">
        <v>542</v>
      </c>
      <c r="X135" s="11" t="n">
        <v>264.064</v>
      </c>
      <c r="Y135" s="8" t="inlineStr">
        <is>
          <t>Pacific</t>
        </is>
      </c>
      <c r="Z135" s="8" t="inlineStr">
        <is>
          <t>New South Wales (NSW)</t>
        </is>
      </c>
      <c r="AA135" s="11" t="n">
        <v>460.547985714603</v>
      </c>
      <c r="AB135" s="8" t="inlineStr">
        <is>
          <t>Ainsworth Game Technology Ltd. engages in the design, development, manufacture, sales, and distribution of gaming content and platforms including electronic gaming machines, other related equipment, and services. It operates through the following geographical segments: Australia and Other, Nort America, and Latin America. The company was founded by Leonard Hastings Ainsworth on March 7, 1995 and is headquartered in Newington, Australia.</t>
        </is>
      </c>
      <c r="AC135" s="8" t="inlineStr">
        <is>
          <t>Arts, Entertainment and Recreation Providers</t>
        </is>
      </c>
      <c r="AD135" s="8" t="inlineStr">
        <is>
          <t>Hospitality Services</t>
        </is>
      </c>
      <c r="AE135" s="8" t="inlineStr">
        <is>
          <t>Hospitality Services</t>
        </is>
      </c>
      <c r="AF135" s="12" t="inlineStr">
        <is>
          <t>Gaming Industries</t>
        </is>
      </c>
      <c r="AR135" t="n">
        <v>0.114817</v>
      </c>
    </row>
    <row r="136" ht="15" customHeight="1">
      <c r="A136" s="8" t="inlineStr">
        <is>
          <t>SKS-AU</t>
        </is>
      </c>
      <c r="B136" s="8" t="inlineStr">
        <is>
          <t>SKS Technologies Group Ltd.</t>
        </is>
      </c>
      <c r="C136" s="8" t="n"/>
      <c r="D136" s="8" t="n"/>
      <c r="E136" s="8" t="n"/>
      <c r="F136" s="8" t="n"/>
      <c r="G136" s="8" t="n"/>
      <c r="H136" s="8" t="n"/>
      <c r="I136" s="8" t="n"/>
      <c r="J136" s="8" t="n"/>
      <c r="K136" s="8" t="n"/>
      <c r="L136" s="8" t="n"/>
      <c r="M136" s="8" t="n"/>
      <c r="N136" s="17" t="n"/>
      <c r="O136" s="17" t="n"/>
      <c r="P136" s="17" t="n"/>
      <c r="Q136" s="17" t="n"/>
      <c r="R136" s="10">
        <f>IFERROR(_xlfn.XLOOKUP($A136,Profitability!$A$5:$A$342,Profitability!$Q$5:$Q$342),"na")</f>
        <v/>
      </c>
      <c r="S136" s="10">
        <f>IFERROR(_xlfn.XLOOKUP($A136,Profitability!$A$5:$A$342,Profitability!$R$5:$R$342),"na")</f>
        <v/>
      </c>
      <c r="T136" s="8" t="inlineStr">
        <is>
          <t>Public</t>
        </is>
      </c>
      <c r="U136" s="8" t="inlineStr">
        <is>
          <t>Australia</t>
        </is>
      </c>
      <c r="V136" s="9" t="n">
        <v>1962</v>
      </c>
      <c r="W136" s="10" t="n">
        <v>801</v>
      </c>
      <c r="X136" s="11" t="n">
        <v>261.655008</v>
      </c>
      <c r="Y136" s="8" t="inlineStr">
        <is>
          <t>Pacific</t>
        </is>
      </c>
      <c r="Z136" s="8" t="inlineStr">
        <is>
          <t>Victoria (VIC)</t>
        </is>
      </c>
      <c r="AA136" s="11" t="n">
        <v>112.624725775807</v>
      </c>
      <c r="AB136" s="8" t="inlineStr">
        <is>
          <t>SKS Technologies Group Ltd. engages in the development and distribution of technology products. It provides audiovisual products and solutions and electrical and communications cabling for the commercial, retail, health, defense, and education market. The company was founded in 1962 and is headquartered in West Melbourne, Australia.</t>
        </is>
      </c>
      <c r="AC136" s="8" t="inlineStr">
        <is>
          <t>Other Electrical Equipment/Power Systems Makers</t>
        </is>
      </c>
      <c r="AD136" s="8" t="inlineStr">
        <is>
          <t>Electrical Equipment and Power Systems</t>
        </is>
      </c>
      <c r="AE136" s="8" t="inlineStr">
        <is>
          <t>Industrial Manufacturing</t>
        </is>
      </c>
      <c r="AF136" s="12" t="inlineStr">
        <is>
          <t>Lighting Equipment and Component Manufacturing</t>
        </is>
      </c>
      <c r="AR136" t="n">
        <v>0.053616</v>
      </c>
    </row>
    <row r="137" ht="15" customHeight="1">
      <c r="A137" s="8" t="inlineStr">
        <is>
          <t>AAC-AU</t>
        </is>
      </c>
      <c r="B137" s="8" t="inlineStr">
        <is>
          <t>Australian Agricultural Co. Ltd.</t>
        </is>
      </c>
      <c r="C137" s="8" t="n"/>
      <c r="D137" s="8" t="n"/>
      <c r="E137" s="8" t="n"/>
      <c r="F137" s="8" t="n"/>
      <c r="G137" s="8" t="n"/>
      <c r="H137" s="8" t="n"/>
      <c r="I137" s="8" t="n"/>
      <c r="J137" s="8" t="n"/>
      <c r="K137" s="8" t="n"/>
      <c r="L137" s="8" t="n"/>
      <c r="M137" s="8" t="n"/>
      <c r="N137" s="17" t="n"/>
      <c r="O137" s="17" t="n"/>
      <c r="P137" s="17" t="n"/>
      <c r="Q137" s="17" t="n"/>
      <c r="R137" s="10">
        <f>IFERROR(_xlfn.XLOOKUP($A137,Profitability!$A$5:$A$342,Profitability!$Q$5:$Q$342),"na")</f>
        <v/>
      </c>
      <c r="S137" s="10">
        <f>IFERROR(_xlfn.XLOOKUP($A137,Profitability!$A$5:$A$342,Profitability!$R$5:$R$342),"na")</f>
        <v/>
      </c>
      <c r="T137" s="8" t="inlineStr">
        <is>
          <t>Public</t>
        </is>
      </c>
      <c r="U137" s="8" t="inlineStr">
        <is>
          <t>Australia</t>
        </is>
      </c>
      <c r="V137" s="9" t="n">
        <v>1989</v>
      </c>
      <c r="W137" s="10" t="n">
        <v>500</v>
      </c>
      <c r="X137" s="11" t="n">
        <v>387.895999999999</v>
      </c>
      <c r="Y137" s="8" t="inlineStr">
        <is>
          <t>Pacific</t>
        </is>
      </c>
      <c r="Z137" s="8" t="inlineStr">
        <is>
          <t>Queensland (QLD)</t>
        </is>
      </c>
      <c r="AA137" s="11" t="n">
        <v>2492.00803569303</v>
      </c>
      <c r="AB137" s="8" t="inlineStr">
        <is>
          <t>Australian Agricultural Co. Ltd. operates as a cattle and beef producer. the firm engages in the production of grass fed beef, grain fed beef, and Wagyu beef. It operates through the Livingstone Beef Processing Plant and AACo Excluding Livingstone segments. The company was founded in 1824 and is headquartered in Brisbane, Australia.</t>
        </is>
      </c>
      <c r="AC137" s="8" t="inlineStr">
        <is>
          <t>Food Production</t>
        </is>
      </c>
      <c r="AD137" s="8" t="inlineStr">
        <is>
          <t>Food and Beverage Production</t>
        </is>
      </c>
      <c r="AE137" s="8" t="inlineStr">
        <is>
          <t>Food and Tobacco Production</t>
        </is>
      </c>
      <c r="AF137" s="12" t="inlineStr">
        <is>
          <t>Meat and Seafood Production</t>
        </is>
      </c>
      <c r="AH137" t="n">
        <v>659618</v>
      </c>
      <c r="AI137" t="n">
        <v>1</v>
      </c>
      <c r="AJ137" t="inlineStr">
        <is>
          <t>,GHG Emissions (tonnes CO2-e),,,
"emissions at 88% of Scope 1 and 2 emissions,",,,,
proportionally remaining steady compared,,,,</t>
        </is>
      </c>
      <c r="AK137" t="n">
        <v>2806</v>
      </c>
      <c r="AL137" t="n">
        <v>1</v>
      </c>
      <c r="AM137" t="inlineStr">
        <is>
          <t>Scope 1 – energy emissions,"29,068","19,211","22,290"</t>
        </is>
      </c>
      <c r="AN137" t="n">
        <v>159949</v>
      </c>
      <c r="AO137" t="n">
        <v>1</v>
      </c>
      <c r="AP137" t="inlineStr">
        <is>
          <t>Other ecosystems,NPR,"70,618 ha","68,108 ha"
Primary woodland or primary forest cleared for grazing purposes,0 ha,0 ha,0 ha
Animal Welfare,,,</t>
        </is>
      </c>
      <c r="AQ137" t="n">
        <v>0</v>
      </c>
      <c r="AR137" t="n">
        <v>-0.002715</v>
      </c>
      <c r="AS137" t="n">
        <v>0</v>
      </c>
    </row>
    <row r="138" ht="15" customHeight="1">
      <c r="A138" s="8" t="inlineStr">
        <is>
          <t>LAU-AU</t>
        </is>
      </c>
      <c r="B138" s="8" t="inlineStr">
        <is>
          <t>Lindsay Australia Ltd.</t>
        </is>
      </c>
      <c r="C138" s="8" t="n"/>
      <c r="D138" s="8" t="n"/>
      <c r="E138" s="8" t="n"/>
      <c r="F138" s="8" t="n"/>
      <c r="G138" s="8" t="n"/>
      <c r="H138" s="8" t="n"/>
      <c r="I138" s="8" t="n"/>
      <c r="J138" s="8" t="n"/>
      <c r="K138" s="8" t="n"/>
      <c r="L138" s="8" t="n"/>
      <c r="M138" s="8" t="n"/>
      <c r="N138" s="17" t="n"/>
      <c r="O138" s="17" t="n"/>
      <c r="P138" s="10" t="n">
        <v>131774</v>
      </c>
      <c r="Q138" s="10" t="n">
        <v>8254</v>
      </c>
      <c r="R138" s="10">
        <f>IFERROR(_xlfn.XLOOKUP($A138,Profitability!$A$5:$A$342,Profitability!$Q$5:$Q$342),"na")</f>
        <v/>
      </c>
      <c r="S138" s="10">
        <f>IFERROR(_xlfn.XLOOKUP($A138,Profitability!$A$5:$A$342,Profitability!$R$5:$R$342),"na")</f>
        <v/>
      </c>
      <c r="T138" s="8" t="inlineStr">
        <is>
          <t>Public</t>
        </is>
      </c>
      <c r="U138" s="8" t="inlineStr">
        <is>
          <t>Australia</t>
        </is>
      </c>
      <c r="V138" s="9" t="n">
        <v>1993</v>
      </c>
      <c r="W138" s="10" t="n">
        <v>1950</v>
      </c>
      <c r="X138" s="11" t="n">
        <v>849.784</v>
      </c>
      <c r="Y138" s="8" t="inlineStr">
        <is>
          <t>Pacific</t>
        </is>
      </c>
      <c r="Z138" s="8" t="inlineStr">
        <is>
          <t>Queensland (QLD)</t>
        </is>
      </c>
      <c r="AA138" s="11" t="n">
        <v>635.139015653965</v>
      </c>
      <c r="AB138" s="8" t="inlineStr">
        <is>
          <t>Lindsay Australia Ltd. engages in the provision of transport, logistics, and rural supply services. It operates through the Transport and Rural segments. The Transport segment comprises of the business of cartage of general and refrigerated products; and ancillary sales. The Rural segment sells and distributes agricultural supply products. The company was founded in 1953 and is headquartered in Brisbane, Australia.</t>
        </is>
      </c>
      <c r="AC138" s="8" t="inlineStr">
        <is>
          <t>Road and Rail Transportation Operators</t>
        </is>
      </c>
      <c r="AD138" s="8" t="inlineStr">
        <is>
          <t>Cargo Transportation and Infrastructure Services</t>
        </is>
      </c>
      <c r="AE138" s="8" t="inlineStr">
        <is>
          <t>Industrial Services</t>
        </is>
      </c>
      <c r="AF138" s="12" t="inlineStr">
        <is>
          <t>Road Transportation</t>
        </is>
      </c>
      <c r="AR138" t="n">
        <v>0.020464</v>
      </c>
    </row>
    <row r="139" ht="15" customHeight="1">
      <c r="A139" s="8" t="inlineStr">
        <is>
          <t>IFL-AU</t>
        </is>
      </c>
      <c r="B139" s="8" t="inlineStr">
        <is>
          <t>Insignia Financial Ltd.</t>
        </is>
      </c>
      <c r="C139" s="8" t="n"/>
      <c r="D139" s="8" t="n"/>
      <c r="E139" s="8" t="n"/>
      <c r="F139" s="8" t="n"/>
      <c r="G139" s="8" t="n"/>
      <c r="H139" s="8" t="n"/>
      <c r="I139" s="8" t="n"/>
      <c r="J139" s="8" t="n"/>
      <c r="K139" s="8" t="n"/>
      <c r="L139" s="8" t="n"/>
      <c r="M139" s="8" t="n"/>
      <c r="N139" s="17" t="n"/>
      <c r="O139" s="17" t="n"/>
      <c r="P139" s="17" t="n"/>
      <c r="Q139" s="17" t="n"/>
      <c r="R139" s="10">
        <f>IFERROR(_xlfn.XLOOKUP($A139,Profitability!$A$5:$A$342,Profitability!$Q$5:$Q$342),"na")</f>
        <v/>
      </c>
      <c r="S139" s="10">
        <f>IFERROR(_xlfn.XLOOKUP($A139,Profitability!$A$5:$A$342,Profitability!$R$5:$R$342),"na")</f>
        <v/>
      </c>
      <c r="T139" s="8" t="inlineStr">
        <is>
          <t>Public</t>
        </is>
      </c>
      <c r="U139" s="8" t="inlineStr">
        <is>
          <t>Australia</t>
        </is>
      </c>
      <c r="V139" s="9" t="n">
        <v>2002</v>
      </c>
      <c r="W139" s="10" t="inlineStr">
        <is>
          <t>-</t>
        </is>
      </c>
      <c r="X139" s="11" t="n">
        <v>1629</v>
      </c>
      <c r="Y139" s="8" t="inlineStr">
        <is>
          <t>Pacific</t>
        </is>
      </c>
      <c r="Z139" s="8" t="inlineStr">
        <is>
          <t>Victoria (VIC)</t>
        </is>
      </c>
      <c r="AA139" s="11" t="n">
        <v>3978.90009806603</v>
      </c>
      <c r="AB139" s="8" t="inlineStr">
        <is>
          <t>Insignia Financial Ltd. engages in the provision of financial products and services. It operates through the following segments: Advice, Master Trust, Wrap, Asset Management, and Corporate. The Advice segment includes the Group’s employed advice businesses, Bridges, and Shadforth. The Master Trust segment offers several award-winning solutions used by many of Australia’s largest employers and independent advisers. The Wrap segment refers to the strong and contemporary technology platform and remains committed to investing in technology and services to support the changing needs of advisers and their clients. The Asset Management segment offers investment management services to institutional, retail, and direct clients. The Corporate segment comprises group functions required to support the Group and operating segments. The company was founded in 1846 and is headquartered in Docklands, Australia.</t>
        </is>
      </c>
      <c r="AC139" s="8" t="inlineStr">
        <is>
          <t>Asset Management and Financial Advisory Services</t>
        </is>
      </c>
      <c r="AD139" s="8" t="inlineStr">
        <is>
          <t>Investment Services</t>
        </is>
      </c>
      <c r="AE139" s="8" t="inlineStr">
        <is>
          <t>Investment Services</t>
        </is>
      </c>
      <c r="AF139" s="12" t="inlineStr">
        <is>
          <t>Alternative Investment Managers</t>
        </is>
      </c>
      <c r="AH139" t="n">
        <v>0</v>
      </c>
      <c r="AJ139" t="inlineStr">
        <is>
          <t>No material Scope 1 sources identified. Citation(s): [15, 16]</t>
        </is>
      </c>
      <c r="AK139" t="n">
        <v>1344</v>
      </c>
      <c r="AM139" t="inlineStr">
        <is>
          <t>Citation(s): [15]</t>
        </is>
      </c>
      <c r="AN139" t="n">
        <v>52992</v>
      </c>
      <c r="AP139" t="inlineStr">
        <is>
          <t>Citation(s): [17]</t>
        </is>
      </c>
      <c r="AR139" t="n">
        <v>0.009882999999999999</v>
      </c>
    </row>
    <row r="140" ht="15" customHeight="1">
      <c r="A140" s="8" t="inlineStr">
        <is>
          <t>BWP-AU</t>
        </is>
      </c>
      <c r="B140" s="8" t="inlineStr">
        <is>
          <t>BWP Trust</t>
        </is>
      </c>
      <c r="C140" s="8" t="n"/>
      <c r="D140" s="8" t="n"/>
      <c r="E140" s="8" t="n"/>
      <c r="F140" s="8" t="n"/>
      <c r="G140" s="8" t="n"/>
      <c r="H140" s="8" t="n"/>
      <c r="I140" s="8" t="n"/>
      <c r="J140" s="8" t="n"/>
      <c r="K140" s="8" t="n"/>
      <c r="L140" s="8" t="n"/>
      <c r="M140" s="8" t="n"/>
      <c r="N140" s="17" t="n"/>
      <c r="O140" s="17" t="n"/>
      <c r="P140" s="17" t="n"/>
      <c r="Q140" s="17" t="n"/>
      <c r="R140" s="10">
        <f>IFERROR(_xlfn.XLOOKUP($A140,Profitability!$A$5:$A$342,Profitability!$Q$5:$Q$342),"na")</f>
        <v/>
      </c>
      <c r="S140" s="10">
        <f>IFERROR(_xlfn.XLOOKUP($A140,Profitability!$A$5:$A$342,Profitability!$R$5:$R$342),"na")</f>
        <v/>
      </c>
      <c r="T140" s="8" t="inlineStr">
        <is>
          <t>Public</t>
        </is>
      </c>
      <c r="U140" s="8" t="inlineStr">
        <is>
          <t>Australia</t>
        </is>
      </c>
      <c r="V140" s="9" t="n">
        <v>1999</v>
      </c>
      <c r="W140" s="10" t="inlineStr">
        <is>
          <t>-</t>
        </is>
      </c>
      <c r="X140" s="11" t="n">
        <v>203.302</v>
      </c>
      <c r="Y140" s="8" t="inlineStr">
        <is>
          <t>Pacific</t>
        </is>
      </c>
      <c r="Z140" s="8" t="inlineStr">
        <is>
          <t>Western Australia (WA)</t>
        </is>
      </c>
      <c r="AA140" s="11" t="n">
        <v>3745.92409232399</v>
      </c>
      <c r="AB140" s="8" t="inlineStr">
        <is>
          <t>BWP Trust is a real estate investment trust, which invests and manages commercial properties. The company was founded on June 18, 1998 and is headquartered in Perth, Australia.</t>
        </is>
      </c>
      <c r="AC140" s="8" t="inlineStr">
        <is>
          <t>Equity REITs</t>
        </is>
      </c>
      <c r="AD140" s="8" t="inlineStr">
        <is>
          <t>Real Estate Investment Trusts (REITs)</t>
        </is>
      </c>
      <c r="AE140" s="8" t="inlineStr">
        <is>
          <t>Real Estate</t>
        </is>
      </c>
      <c r="AF140" s="12" t="inlineStr">
        <is>
          <t>Equity REITs</t>
        </is>
      </c>
      <c r="AR140" t="n">
        <v>1.306318</v>
      </c>
    </row>
    <row r="141" ht="15" customHeight="1">
      <c r="A141" s="8" t="inlineStr">
        <is>
          <t>NHC-AU</t>
        </is>
      </c>
      <c r="B141" s="8" t="inlineStr">
        <is>
          <t>New Hope Corp. Ltd.</t>
        </is>
      </c>
      <c r="C141" s="8" t="n"/>
      <c r="D141" s="8" t="n"/>
      <c r="E141" s="8" t="n"/>
      <c r="F141" s="8" t="n"/>
      <c r="G141" s="8" t="n"/>
      <c r="H141" s="8" t="n"/>
      <c r="I141" s="8" t="n"/>
      <c r="J141" s="8" t="n"/>
      <c r="K141" s="8" t="n"/>
      <c r="L141" s="8" t="n"/>
      <c r="M141" s="8" t="n"/>
      <c r="N141" s="17" t="n"/>
      <c r="O141" s="17" t="n"/>
      <c r="P141" s="10" t="n">
        <v>667497</v>
      </c>
      <c r="Q141" s="10" t="n">
        <v>60641</v>
      </c>
      <c r="R141" s="10">
        <f>IFERROR(_xlfn.XLOOKUP($A141,Profitability!$A$5:$A$342,Profitability!$Q$5:$Q$342),"na")</f>
        <v/>
      </c>
      <c r="S141" s="10">
        <f>IFERROR(_xlfn.XLOOKUP($A141,Profitability!$A$5:$A$342,Profitability!$R$5:$R$342),"na")</f>
        <v/>
      </c>
      <c r="T141" s="8" t="inlineStr">
        <is>
          <t>Public</t>
        </is>
      </c>
      <c r="U141" s="8" t="inlineStr">
        <is>
          <t>Australia</t>
        </is>
      </c>
      <c r="V141" s="9" t="n">
        <v>1986</v>
      </c>
      <c r="W141" s="10" t="n">
        <v>1084</v>
      </c>
      <c r="X141" s="11" t="n">
        <v>1765.335</v>
      </c>
      <c r="Y141" s="8" t="inlineStr">
        <is>
          <t>Pacific</t>
        </is>
      </c>
      <c r="Z141" s="8" t="inlineStr">
        <is>
          <t>Queensland (QLD)</t>
        </is>
      </c>
      <c r="AA141" s="11" t="n">
        <v>3468.57109096688</v>
      </c>
      <c r="AB141" s="8" t="inlineStr">
        <is>
          <t>New Hope Corp. Ltd. engages in the development and operation of coal mines, port handling and logistics, agriculture, and oil and gas development and production. It operates through the following segments: Coal Mining in Queensland, Coal Mining in New South Wales, and Other. The Coal Mining in Queensland segment includes mining related exploration, development, production, processing, transportation, port operations, and marketing. The Coal Mining in New South Wales segment focuses on mining production, processing, transportation, and marketing. The Other segment refers to the coal, and oil and gas exploration, development, production and processing, pastoral operations, and administration. The company was founded in 1986 and is headquartered in Brisbane, Australia.</t>
        </is>
      </c>
      <c r="AC141" s="8" t="inlineStr">
        <is>
          <t>Asia/Pacific International Coal Mining</t>
        </is>
      </c>
      <c r="AD141" s="8" t="inlineStr">
        <is>
          <t>Coal and Uranium Mining</t>
        </is>
      </c>
      <c r="AE141" s="8" t="inlineStr">
        <is>
          <t>Upstream Energy</t>
        </is>
      </c>
      <c r="AF141" s="12" t="inlineStr">
        <is>
          <t>Asia/Pacific International Coal Mining</t>
        </is>
      </c>
      <c r="AH141" t="n">
        <v>640535</v>
      </c>
      <c r="AI141" t="n">
        <v>1</v>
      </c>
      <c r="AJ141" t="inlineStr">
        <is>
          <t>Cultural heritage,Operational emissions
We respect the connections of Traditional,New Hope reports on Scope 1 and Scope 2 greenhouse gas (GHG) emissions (also referred
Owners and custodians with the lands,"to as ‘operational emissions’), energy consumption and energy production to the Clean"</t>
        </is>
      </c>
      <c r="AK141" t="n">
        <v>57783</v>
      </c>
      <c r="AL141" t="n">
        <v>1</v>
      </c>
      <c r="AM141" t="inlineStr">
        <is>
          <t>Queensland Bulk Handling,"5,402",5.2 million throughput tonnes
Bridgeport Energy,"16,753",0.3 boe
Other Group operations*,"11,987",-</t>
        </is>
      </c>
      <c r="AN141" t="n">
        <v>32800000</v>
      </c>
      <c r="AO141" t="n">
        <v>1</v>
      </c>
      <c r="AP141" t="inlineStr">
        <is>
          <t>were calculated using methods aligned to,,
,Total Scope 3 emissions (32.8 Mt CO2e),</t>
        </is>
      </c>
      <c r="AQ141" t="n">
        <v>1</v>
      </c>
      <c r="AR141" t="n">
        <v>0.248887</v>
      </c>
      <c r="AS141" t="n">
        <v>0.000566</v>
      </c>
    </row>
    <row r="142" ht="15" customHeight="1">
      <c r="A142" s="8" t="inlineStr">
        <is>
          <t>CQR-AU</t>
        </is>
      </c>
      <c r="B142" s="8" t="inlineStr">
        <is>
          <t>Charter Hall Retail REIT</t>
        </is>
      </c>
      <c r="C142" s="8" t="n"/>
      <c r="D142" s="8" t="n"/>
      <c r="E142" s="8" t="n"/>
      <c r="F142" s="8" t="n"/>
      <c r="G142" s="8" t="n"/>
      <c r="H142" s="8" t="n"/>
      <c r="I142" s="8" t="n"/>
      <c r="J142" s="8" t="n"/>
      <c r="K142" s="8" t="n"/>
      <c r="L142" s="8" t="n"/>
      <c r="M142" s="8" t="n"/>
      <c r="N142" s="17" t="n"/>
      <c r="O142" s="17" t="n"/>
      <c r="P142" s="10" t="n">
        <v>7984</v>
      </c>
      <c r="Q142" s="10" t="n">
        <v>92944</v>
      </c>
      <c r="R142" s="10">
        <f>IFERROR(_xlfn.XLOOKUP($A142,Profitability!$A$5:$A$342,Profitability!$Q$5:$Q$342),"na")</f>
        <v/>
      </c>
      <c r="S142" s="10">
        <f>IFERROR(_xlfn.XLOOKUP($A142,Profitability!$A$5:$A$342,Profitability!$R$5:$R$342),"na")</f>
        <v/>
      </c>
      <c r="T142" s="8" t="inlineStr">
        <is>
          <t>Public</t>
        </is>
      </c>
      <c r="U142" s="8" t="inlineStr">
        <is>
          <t>Australia</t>
        </is>
      </c>
      <c r="V142" s="9" t="n">
        <v>2000</v>
      </c>
      <c r="W142" s="10" t="inlineStr">
        <is>
          <t>-</t>
        </is>
      </c>
      <c r="X142" s="11" t="n">
        <v>194.7</v>
      </c>
      <c r="Y142" s="8" t="inlineStr">
        <is>
          <t>Pacific</t>
        </is>
      </c>
      <c r="Z142" s="8" t="inlineStr">
        <is>
          <t>New South Wales (NSW)</t>
        </is>
      </c>
      <c r="AA142" s="11" t="n">
        <v>4288.30010569167</v>
      </c>
      <c r="AB142" s="8" t="inlineStr">
        <is>
          <t>Charter Hall Retail REIT is a real estate investment trust, which invests in convenience and community-based supermarket anchored shopping centers that aim to provide a secure and growing income stream to unit holders. It operates through Convenience Retail and Long WALE Retail segments. The Convenience Retail segment consists of convenience-based retail shopping center investment properties held directly and through investments in joint venture entities. The Long WALE Retail segment refers to convenience retail investment properties which includes service station and hospitality assets. The company was founded on July 21, 1995 and is headquartered in Sydney, Australia.</t>
        </is>
      </c>
      <c r="AC142" s="8" t="inlineStr">
        <is>
          <t>Equity REITs</t>
        </is>
      </c>
      <c r="AD142" s="8" t="inlineStr">
        <is>
          <t>Real Estate Investment Trusts (REITs)</t>
        </is>
      </c>
      <c r="AE142" s="8" t="inlineStr">
        <is>
          <t>Real Estate</t>
        </is>
      </c>
      <c r="AF142" s="12" t="inlineStr">
        <is>
          <t>Equity REITs</t>
        </is>
      </c>
    </row>
    <row r="143" ht="15" customHeight="1">
      <c r="A143" s="8" t="inlineStr">
        <is>
          <t>CDP-AU</t>
        </is>
      </c>
      <c r="B143" s="8" t="inlineStr">
        <is>
          <t>Carindale Property Trust</t>
        </is>
      </c>
      <c r="C143" s="8" t="n"/>
      <c r="D143" s="8" t="n"/>
      <c r="E143" s="8" t="n"/>
      <c r="F143" s="8" t="n"/>
      <c r="G143" s="8" t="n"/>
      <c r="H143" s="8" t="n"/>
      <c r="I143" s="8" t="n"/>
      <c r="J143" s="8" t="n"/>
      <c r="K143" s="8" t="n"/>
      <c r="L143" s="8" t="n"/>
      <c r="M143" s="8" t="n"/>
      <c r="N143" s="17" t="n"/>
      <c r="O143" s="17" t="n"/>
      <c r="P143" s="17" t="n"/>
      <c r="Q143" s="17" t="n"/>
      <c r="R143" s="10">
        <f>IFERROR(_xlfn.XLOOKUP($A143,Profitability!$A$5:$A$342,Profitability!$Q$5:$Q$342),"na")</f>
        <v/>
      </c>
      <c r="S143" s="10">
        <f>IFERROR(_xlfn.XLOOKUP($A143,Profitability!$A$5:$A$342,Profitability!$R$5:$R$342),"na")</f>
        <v/>
      </c>
      <c r="T143" s="8" t="inlineStr">
        <is>
          <t>Public</t>
        </is>
      </c>
      <c r="U143" s="8" t="inlineStr">
        <is>
          <t>Australia</t>
        </is>
      </c>
      <c r="V143" s="9" t="n">
        <v>2000</v>
      </c>
      <c r="W143" s="10" t="inlineStr">
        <is>
          <t>-</t>
        </is>
      </c>
      <c r="X143" s="11" t="n">
        <v>61.585</v>
      </c>
      <c r="Y143" s="8" t="inlineStr">
        <is>
          <t>Pacific</t>
        </is>
      </c>
      <c r="Z143" s="8" t="inlineStr">
        <is>
          <t>New South Wales (NSW)</t>
        </is>
      </c>
      <c r="AA143" s="11" t="n">
        <v>793.327019552749</v>
      </c>
      <c r="AB143" s="8" t="inlineStr">
        <is>
          <t>Carindale Property Trust is a single centre property trust. It engages in the business of owning a shopping centre. The company was founded in 1996 and is headquartered in Sydney, Australia.</t>
        </is>
      </c>
      <c r="AC143" s="8" t="inlineStr">
        <is>
          <t>Equity REITs</t>
        </is>
      </c>
      <c r="AD143" s="8" t="inlineStr">
        <is>
          <t>Real Estate Investment Trusts (REITs)</t>
        </is>
      </c>
      <c r="AE143" s="8" t="inlineStr">
        <is>
          <t>Real Estate</t>
        </is>
      </c>
      <c r="AF143" s="12" t="inlineStr">
        <is>
          <t>Equity REITs</t>
        </is>
      </c>
      <c r="AR143" t="n">
        <v>0.635772</v>
      </c>
    </row>
    <row r="144" ht="15" customHeight="1">
      <c r="A144" s="8" t="inlineStr">
        <is>
          <t>IRE-AU</t>
        </is>
      </c>
      <c r="B144" s="8" t="inlineStr">
        <is>
          <t>Iress Ltd.</t>
        </is>
      </c>
      <c r="C144" s="8" t="n"/>
      <c r="D144" s="8" t="n"/>
      <c r="E144" s="8" t="n"/>
      <c r="F144" s="8" t="n"/>
      <c r="G144" s="8" t="n"/>
      <c r="H144" s="8" t="n"/>
      <c r="I144" s="8" t="n"/>
      <c r="J144" s="8" t="n"/>
      <c r="K144" s="8" t="n"/>
      <c r="L144" s="8" t="n"/>
      <c r="M144" s="8" t="n"/>
      <c r="N144" s="17" t="n"/>
      <c r="O144" s="17" t="n"/>
      <c r="P144" s="17" t="n"/>
      <c r="Q144" s="17" t="n"/>
      <c r="R144" s="10">
        <f>IFERROR(_xlfn.XLOOKUP($A144,Profitability!$A$5:$A$342,Profitability!$Q$5:$Q$342),"na")</f>
        <v/>
      </c>
      <c r="S144" s="10">
        <f>IFERROR(_xlfn.XLOOKUP($A144,Profitability!$A$5:$A$342,Profitability!$R$5:$R$342),"na")</f>
        <v/>
      </c>
      <c r="T144" s="8" t="inlineStr">
        <is>
          <t>Public</t>
        </is>
      </c>
      <c r="U144" s="8" t="inlineStr">
        <is>
          <t>Australia</t>
        </is>
      </c>
      <c r="V144" s="9" t="n">
        <v>1993</v>
      </c>
      <c r="W144" s="10" t="n">
        <v>1635</v>
      </c>
      <c r="X144" s="11" t="n">
        <v>600.826999999999</v>
      </c>
      <c r="Y144" s="8" t="inlineStr">
        <is>
          <t>Pacific</t>
        </is>
      </c>
      <c r="Z144" s="8" t="inlineStr">
        <is>
          <t>Victoria (VIC)</t>
        </is>
      </c>
      <c r="AA144" s="11" t="n">
        <v>730.2719773482351</v>
      </c>
      <c r="AB144" s="8" t="inlineStr">
        <is>
          <t>Iress Ltd. engages in the provision of financial software services industry. It operates through the following segments: Trading &amp; Global Market Data, APAC Wealth Management, Superannuation, Managed Portfolio – UK and Managed Portfolio – Other. The company was founded by Neil Detering, Hung Do, and Peter Dunai in June 1993 and is headquartered in Melbourne, Australia.</t>
        </is>
      </c>
      <c r="AC144" s="8" t="inlineStr">
        <is>
          <t>Finance Software and Services</t>
        </is>
      </c>
      <c r="AD144" s="8" t="inlineStr">
        <is>
          <t>Finance Software and Services</t>
        </is>
      </c>
      <c r="AE144" s="8" t="inlineStr">
        <is>
          <t>Specialty Finance and Services</t>
        </is>
      </c>
      <c r="AF144" s="12" t="inlineStr">
        <is>
          <t>Finance Industry Software</t>
        </is>
      </c>
      <c r="AH144" t="n">
        <v>47</v>
      </c>
      <c r="AI144" t="n">
        <v>1</v>
      </c>
      <c r="AJ144" t="inlineStr">
        <is>
          <t>Scope 1 and 2 emissions (tCO2e, market based)</t>
        </is>
      </c>
      <c r="AK144" t="n">
        <v>688</v>
      </c>
      <c r="AL144" t="n">
        <v>1</v>
      </c>
      <c r="AM144" t="inlineStr">
        <is>
          <t>Scope 1 and 2 emissions (tCO2e, market based)</t>
        </is>
      </c>
      <c r="AN144" t="n">
        <v>0</v>
      </c>
      <c r="AO144" t="n">
        <v>1</v>
      </c>
      <c r="AP144" t="inlineStr">
        <is>
          <t>Scope 3 emissions (tCO2e)</t>
        </is>
      </c>
      <c r="AQ144" t="n">
        <v>1</v>
      </c>
      <c r="AR144" t="n">
        <v>0.147578</v>
      </c>
      <c r="AS144" t="n">
        <v>0.001664</v>
      </c>
    </row>
    <row r="145" ht="15" customHeight="1">
      <c r="A145" s="8" t="inlineStr">
        <is>
          <t>BRG-AU</t>
        </is>
      </c>
      <c r="B145" s="8" t="inlineStr">
        <is>
          <t>Breville Group Ltd.</t>
        </is>
      </c>
      <c r="C145" s="8" t="n"/>
      <c r="D145" s="8" t="n"/>
      <c r="E145" s="8" t="n"/>
      <c r="F145" s="8" t="n"/>
      <c r="G145" s="8" t="n"/>
      <c r="H145" s="8" t="n"/>
      <c r="I145" s="8" t="n"/>
      <c r="J145" s="8" t="n"/>
      <c r="K145" s="8" t="n"/>
      <c r="L145" s="8" t="n"/>
      <c r="M145" s="8" t="n"/>
      <c r="N145" s="17" t="n"/>
      <c r="O145" s="17" t="n"/>
      <c r="P145" s="17" t="n"/>
      <c r="Q145" s="17" t="n"/>
      <c r="R145" s="10">
        <f>IFERROR(_xlfn.XLOOKUP($A145,Profitability!$A$5:$A$342,Profitability!$Q$5:$Q$342),"na")</f>
        <v/>
      </c>
      <c r="S145" s="10">
        <f>IFERROR(_xlfn.XLOOKUP($A145,Profitability!$A$5:$A$342,Profitability!$R$5:$R$342),"na")</f>
        <v/>
      </c>
      <c r="T145" s="8" t="inlineStr">
        <is>
          <t>Public</t>
        </is>
      </c>
      <c r="U145" s="8" t="inlineStr">
        <is>
          <t>Australia</t>
        </is>
      </c>
      <c r="V145" s="9" t="n">
        <v>1999</v>
      </c>
      <c r="W145" s="10" t="n">
        <v>1119</v>
      </c>
      <c r="X145" s="11" t="n">
        <v>1696.551</v>
      </c>
      <c r="Y145" s="8" t="inlineStr">
        <is>
          <t>Pacific</t>
        </is>
      </c>
      <c r="Z145" s="8" t="inlineStr">
        <is>
          <t>New South Wales (NSW)</t>
        </is>
      </c>
      <c r="AA145" s="11" t="n">
        <v>1481.20903650664</v>
      </c>
      <c r="AB145" s="8" t="inlineStr">
        <is>
          <t>Breville Group Ltd. engages in the design and development of small electrical kitchen appliances. It operates through the Global Product and Distribution segments. The Global Product segment sells products designed and developed by Breville that may be sold directly or through third parties and may be branded Breville, Sage or carry a third party brand. The Distribution segment markets products that are designed and developed by a third party which may be sold under a brand owned by the company, like Breville or Kambrook, or may be distributed under a third party brand, like Nespresso. The company was founded on January 11, 1932 and is headquartered in Sydney, Australia.</t>
        </is>
      </c>
      <c r="AC145" s="8" t="inlineStr">
        <is>
          <t>Small Appliances and Accessories Manufacturing</t>
        </is>
      </c>
      <c r="AD145" s="8" t="inlineStr">
        <is>
          <t>Household Appliances and Tools</t>
        </is>
      </c>
      <c r="AE145" s="8" t="inlineStr">
        <is>
          <t>Household Products</t>
        </is>
      </c>
      <c r="AF145" s="12" t="inlineStr">
        <is>
          <t>Other Small Home Appliances Makers</t>
        </is>
      </c>
      <c r="AH145" t="n">
        <v>1116</v>
      </c>
      <c r="AJ145" t="inlineStr">
        <is>
          <t>Reported as combined Scope 1 and 2 emissions (1,116 MT C02eq).</t>
        </is>
      </c>
      <c r="AK145" t="n">
        <v>1116</v>
      </c>
      <c r="AM145" t="inlineStr">
        <is>
          <t>Reported as combined Scope 1 and 2 emissions (1,116 MT C02eq).</t>
        </is>
      </c>
      <c r="AN145" t="n">
        <v>1352564</v>
      </c>
      <c r="AP145" t="inlineStr">
        <is>
          <t>FY24 Scope 3 product emissions estimated and reported as 1,352,563.74 MT CO2 eq.</t>
        </is>
      </c>
      <c r="AR145" t="n">
        <v>0.080077</v>
      </c>
    </row>
    <row r="146" ht="15" customHeight="1">
      <c r="A146" s="8" t="inlineStr">
        <is>
          <t>GAP-AU</t>
        </is>
      </c>
      <c r="B146" s="8" t="inlineStr">
        <is>
          <t>Gale Pacific Ltd.</t>
        </is>
      </c>
      <c r="C146" s="8" t="n"/>
      <c r="D146" s="8" t="n"/>
      <c r="E146" s="8" t="n"/>
      <c r="F146" s="8" t="n"/>
      <c r="G146" s="8" t="n"/>
      <c r="H146" s="8" t="n"/>
      <c r="I146" s="8" t="n"/>
      <c r="J146" s="8" t="n"/>
      <c r="K146" s="8" t="n"/>
      <c r="L146" s="8" t="n"/>
      <c r="M146" s="8" t="n"/>
      <c r="N146" s="17" t="n"/>
      <c r="O146" s="17" t="n"/>
      <c r="P146" s="17" t="n"/>
      <c r="Q146" s="17" t="n"/>
      <c r="R146" s="10">
        <f>IFERROR(_xlfn.XLOOKUP($A146,Profitability!$A$5:$A$342,Profitability!$Q$5:$Q$342),"na")</f>
        <v/>
      </c>
      <c r="S146" s="10">
        <f>IFERROR(_xlfn.XLOOKUP($A146,Profitability!$A$5:$A$342,Profitability!$R$5:$R$342),"na")</f>
        <v/>
      </c>
      <c r="T146" s="8" t="inlineStr">
        <is>
          <t>Public</t>
        </is>
      </c>
      <c r="U146" s="8" t="inlineStr">
        <is>
          <t>Australia</t>
        </is>
      </c>
      <c r="V146" s="9" t="n">
        <v>1998</v>
      </c>
      <c r="W146" s="10" t="n">
        <v>600</v>
      </c>
      <c r="X146" s="11" t="n">
        <v>171.988</v>
      </c>
      <c r="Y146" s="8" t="inlineStr">
        <is>
          <t>Pacific</t>
        </is>
      </c>
      <c r="Z146" s="8" t="inlineStr">
        <is>
          <t>Victoria (VIC)</t>
        </is>
      </c>
      <c r="AA146" s="11" t="n">
        <v>175.642004328964</v>
      </c>
      <c r="AB146" s="8" t="inlineStr">
        <is>
          <t>Gale Pacific Ltd. is a global marketer and manufacturer of branded screening and shading products for domestic, commercial and industrial applications. The firm operates through the following segments: Australasia, EurAsia, Americas, and Middle East and North Africa. Its products are designed to protect people and outdoor living environments from the harmful effects of UV rays, hail and other adverse weather conditions, improve the efficiency and competitiveness of agribusiness through increased crop protection and improved water conservation and enhance architectural designs and construction applications. The company was founded in 1951 and is headquartered in Braeside, Australia.</t>
        </is>
      </c>
      <c r="AC146" s="8" t="inlineStr">
        <is>
          <t>Textile Products</t>
        </is>
      </c>
      <c r="AD146" s="8" t="inlineStr">
        <is>
          <t>Other Materials</t>
        </is>
      </c>
      <c r="AE146" s="8" t="inlineStr">
        <is>
          <t>Manufactured Products</t>
        </is>
      </c>
      <c r="AF146" s="12" t="inlineStr">
        <is>
          <t>Industrial Fabrics Manufacturing</t>
        </is>
      </c>
      <c r="AH146" t="n">
        <v>3550</v>
      </c>
      <c r="AI146" t="n">
        <v>0.9</v>
      </c>
      <c r="AJ146" t="inlineStr">
        <is>
          <t>Fugitive Emissions,"2,690.51",,,
,,,Total Emissions,"0.38K
(3.6%)"</t>
        </is>
      </c>
      <c r="AK146" t="n">
        <v>7114</v>
      </c>
      <c r="AL146" t="n">
        <v>0.9</v>
      </c>
      <c r="AM146" t="inlineStr">
        <is>
          <t>"China, GALE Pacific Ltd in Australia, GALE Pacific USA, and GALE Pacific FZE in Dubai.  The baseline for",,,,
"our Green House gas Scope 1 and Scope 2 inventory is 10,663 tons of carbon dioxide equivalent.",,,,
,Emissions,,,</t>
        </is>
      </c>
      <c r="AN146" t="n">
        <v>0</v>
      </c>
      <c r="AO146" t="n">
        <v>0.95</v>
      </c>
      <c r="AP146" t="inlineStr">
        <is>
          <t>(3.6%)"
Total Scope 1,"3,549.52",7.11K,(tCO2e),0.48K
,,(66.71%),,(4.46%)</t>
        </is>
      </c>
      <c r="AQ146" t="n">
        <v>0</v>
      </c>
      <c r="AR146" t="n">
        <v>-0.030142</v>
      </c>
      <c r="AS146" t="n">
        <v>0</v>
      </c>
    </row>
    <row r="147" ht="15" customHeight="1">
      <c r="A147" s="8" t="inlineStr">
        <is>
          <t>TNE-AU</t>
        </is>
      </c>
      <c r="B147" s="8" t="inlineStr">
        <is>
          <t>Technology One Ltd.</t>
        </is>
      </c>
      <c r="C147" s="8" t="n"/>
      <c r="D147" s="8" t="n"/>
      <c r="E147" s="8" t="n"/>
      <c r="F147" s="8" t="n"/>
      <c r="G147" s="8" t="n"/>
      <c r="H147" s="8" t="n"/>
      <c r="I147" s="8" t="n"/>
      <c r="J147" s="8" t="n"/>
      <c r="K147" s="8" t="n"/>
      <c r="L147" s="8" t="n"/>
      <c r="M147" s="8" t="n"/>
      <c r="N147" s="17" t="n"/>
      <c r="O147" s="17" t="n"/>
      <c r="P147" s="17" t="n"/>
      <c r="Q147" s="17" t="n"/>
      <c r="R147" s="10">
        <f>IFERROR(_xlfn.XLOOKUP($A147,Profitability!$A$5:$A$342,Profitability!$Q$5:$Q$342),"na")</f>
        <v/>
      </c>
      <c r="S147" s="10">
        <f>IFERROR(_xlfn.XLOOKUP($A147,Profitability!$A$5:$A$342,Profitability!$R$5:$R$342),"na")</f>
        <v/>
      </c>
      <c r="T147" s="8" t="inlineStr">
        <is>
          <t>Public</t>
        </is>
      </c>
      <c r="U147" s="8" t="inlineStr">
        <is>
          <t>Australia</t>
        </is>
      </c>
      <c r="V147" s="9" t="n">
        <v>1983</v>
      </c>
      <c r="W147" s="10" t="inlineStr">
        <is>
          <t>-</t>
        </is>
      </c>
      <c r="X147" s="11" t="n">
        <v>506.535999999999</v>
      </c>
      <c r="Y147" s="8" t="inlineStr">
        <is>
          <t>Pacific</t>
        </is>
      </c>
      <c r="Z147" s="8" t="inlineStr">
        <is>
          <t>Queensland (QLD)</t>
        </is>
      </c>
      <c r="AA147" s="11" t="n">
        <v>822.764014099158</v>
      </c>
      <c r="AB147" s="8" t="inlineStr">
        <is>
          <t>Technology One Ltd. engages in the development, marketing, sales, implementation, and support of fully integrated enterprise business software solutions. It operates through the Software and Consulting segments. The Software segment consists of sales and marketing, research and development, and software as a service (SaaS) platform. The Consulting segment includes the services related to the services. The company was founded by Adrian Di Marco in 1987 and is headquartered in Brisbane, Australia.</t>
        </is>
      </c>
      <c r="AC147" s="8" t="inlineStr">
        <is>
          <t>Enterprise Management Software</t>
        </is>
      </c>
      <c r="AD147" s="8" t="inlineStr">
        <is>
          <t>Software</t>
        </is>
      </c>
      <c r="AE147" s="8" t="inlineStr">
        <is>
          <t>Software and Consulting</t>
        </is>
      </c>
      <c r="AF147" s="12" t="inlineStr">
        <is>
          <t>General Enterprise Management Software</t>
        </is>
      </c>
      <c r="AN147" t="n">
        <v>7941</v>
      </c>
      <c r="AP147" t="inlineStr">
        <is>
          <t>Citation(s): [37]</t>
        </is>
      </c>
      <c r="AR147" t="n">
        <v>0.232982</v>
      </c>
    </row>
    <row r="148" ht="15" customHeight="1">
      <c r="A148" s="8" t="inlineStr">
        <is>
          <t>PRG-AU</t>
        </is>
      </c>
      <c r="B148" s="8" t="inlineStr">
        <is>
          <t>PRL Global Ltd.</t>
        </is>
      </c>
      <c r="C148" s="8" t="n"/>
      <c r="D148" s="8" t="n"/>
      <c r="E148" s="8" t="n"/>
      <c r="F148" s="8" t="n"/>
      <c r="G148" s="8" t="n"/>
      <c r="H148" s="8" t="n"/>
      <c r="I148" s="8" t="n"/>
      <c r="J148" s="8" t="n"/>
      <c r="K148" s="8" t="n"/>
      <c r="L148" s="8" t="n"/>
      <c r="M148" s="8" t="n"/>
      <c r="N148" s="17" t="n"/>
      <c r="O148" s="17" t="n"/>
      <c r="P148" s="17" t="n"/>
      <c r="Q148" s="17" t="n"/>
      <c r="R148" s="10">
        <f>IFERROR(_xlfn.XLOOKUP($A148,Profitability!$A$5:$A$342,Profitability!$Q$5:$Q$342),"na")</f>
        <v/>
      </c>
      <c r="S148" s="10">
        <f>IFERROR(_xlfn.XLOOKUP($A148,Profitability!$A$5:$A$342,Profitability!$R$5:$R$342),"na")</f>
        <v/>
      </c>
      <c r="T148" s="8" t="inlineStr">
        <is>
          <t>Public</t>
        </is>
      </c>
      <c r="U148" s="8" t="inlineStr">
        <is>
          <t>Australia</t>
        </is>
      </c>
      <c r="V148" s="9" t="n">
        <v>1987</v>
      </c>
      <c r="W148" s="10" t="inlineStr">
        <is>
          <t>-</t>
        </is>
      </c>
      <c r="X148" s="11" t="n">
        <v>1477.72199999999</v>
      </c>
      <c r="Y148" s="8" t="inlineStr">
        <is>
          <t>Pacific</t>
        </is>
      </c>
      <c r="Z148" s="8" t="inlineStr">
        <is>
          <t>Western Australia (WA)</t>
        </is>
      </c>
      <c r="AA148" s="11" t="n">
        <v>505.179012450904</v>
      </c>
      <c r="AB148" s="8" t="inlineStr">
        <is>
          <t>PRL Global Ltd. engages in the provision of mining and mineral exploration. It operates through the following segments: Fertilizer, Farming, and Logistics. The Fertilizer includes mining, processing, and selling phosphate rock, phosphate dust, and chalk. The Farming segment is involved in oil palm cultivation and palm oil processing. The Logistics segment focuses on trading, importing, and exporting commodities. The company was founded on June 18, 1987 and is headquartered in Burswood, Australia.</t>
        </is>
      </c>
      <c r="AC148" s="8" t="inlineStr">
        <is>
          <t>LPG, Propane and Other Distributors</t>
        </is>
      </c>
      <c r="AD148" s="8" t="inlineStr">
        <is>
          <t>Downstream Energy</t>
        </is>
      </c>
      <c r="AE148" s="8" t="inlineStr">
        <is>
          <t>Downstream and Midstream Energy</t>
        </is>
      </c>
      <c r="AF148" s="12" t="inlineStr">
        <is>
          <t>Other Petroleum Products</t>
        </is>
      </c>
      <c r="AR148" t="n">
        <v>0.007369</v>
      </c>
    </row>
    <row r="149" ht="15" customHeight="1">
      <c r="A149" s="8" t="inlineStr">
        <is>
          <t>JBH-AU</t>
        </is>
      </c>
      <c r="B149" s="8" t="inlineStr">
        <is>
          <t>JB Hi-Fi Ltd.</t>
        </is>
      </c>
      <c r="C149" s="8" t="n"/>
      <c r="D149" s="8" t="n"/>
      <c r="E149" s="8" t="n"/>
      <c r="F149" s="8" t="n"/>
      <c r="G149" s="8" t="n"/>
      <c r="H149" s="8" t="n"/>
      <c r="I149" s="8" t="n"/>
      <c r="J149" s="8" t="n"/>
      <c r="K149" s="8" t="n"/>
      <c r="L149" s="8" t="n"/>
      <c r="M149" s="8" t="n"/>
      <c r="N149" s="17" t="n"/>
      <c r="O149" s="17" t="n"/>
      <c r="P149" s="17" t="n">
        <v>267</v>
      </c>
      <c r="Q149" s="10" t="n">
        <v>56248</v>
      </c>
      <c r="R149" s="10">
        <f>IFERROR(_xlfn.XLOOKUP($A149,Profitability!$A$5:$A$342,Profitability!$Q$5:$Q$342),"na")</f>
        <v/>
      </c>
      <c r="S149" s="10">
        <f>IFERROR(_xlfn.XLOOKUP($A149,Profitability!$A$5:$A$342,Profitability!$R$5:$R$342),"na")</f>
        <v/>
      </c>
      <c r="T149" s="8" t="inlineStr">
        <is>
          <t>Public</t>
        </is>
      </c>
      <c r="U149" s="8" t="inlineStr">
        <is>
          <t>Australia</t>
        </is>
      </c>
      <c r="V149" s="9" t="n">
        <v>2000</v>
      </c>
      <c r="W149" s="10" t="n">
        <v>16000</v>
      </c>
      <c r="X149" s="11" t="n">
        <v>10554.8</v>
      </c>
      <c r="Y149" s="8" t="inlineStr">
        <is>
          <t>Pacific</t>
        </is>
      </c>
      <c r="Z149" s="8" t="inlineStr">
        <is>
          <t>Victoria (VIC)</t>
        </is>
      </c>
      <c r="AA149" s="11" t="n">
        <v>4179.90010301998</v>
      </c>
      <c r="AB149" s="8" t="inlineStr">
        <is>
          <t>JB Hi-Fi Ltd. engages in the retail of home consumer products from stand-alone destination sites, shopping center locations, and online stores. Its brands include Apple, Bose, Breville, DJI, Dyson, Fisher and Paykel, Fitbit, Google, HP, KitchenAid, LG, Microsoft, Nespresso, Nintendo, Samsung, and Sony. It operates through the following segments: JB Hi-Fi Australia, JB Hi-Fi New Zealand, and The Good Guys. The company was founded by John Barbuto in 1974 and is headquartered in Southbank, Australia.</t>
        </is>
      </c>
      <c r="AC149" s="8" t="inlineStr">
        <is>
          <t>Electronics Retail</t>
        </is>
      </c>
      <c r="AD149" s="8" t="inlineStr">
        <is>
          <t>Electronics and Entertainment Retail</t>
        </is>
      </c>
      <c r="AE149" s="8" t="inlineStr">
        <is>
          <t>Consumer Retail</t>
        </is>
      </c>
      <c r="AF149" s="12" t="inlineStr">
        <is>
          <t>Consumer Electronics Stores</t>
        </is>
      </c>
      <c r="AR149" t="n">
        <v>0.043809</v>
      </c>
    </row>
    <row r="150" ht="15" customHeight="1">
      <c r="A150" s="8" t="inlineStr">
        <is>
          <t>VAU-AU</t>
        </is>
      </c>
      <c r="B150" s="8" t="inlineStr">
        <is>
          <t>Vault Minerals Ltd.</t>
        </is>
      </c>
      <c r="C150" s="8" t="n"/>
      <c r="D150" s="8" t="n"/>
      <c r="E150" s="8" t="n"/>
      <c r="F150" s="8" t="n"/>
      <c r="G150" s="8" t="n"/>
      <c r="H150" s="8" t="n"/>
      <c r="I150" s="8" t="n"/>
      <c r="J150" s="8" t="n"/>
      <c r="K150" s="8" t="n"/>
      <c r="L150" s="8" t="n"/>
      <c r="M150" s="8" t="n"/>
      <c r="N150" s="17" t="n"/>
      <c r="O150" s="17" t="n"/>
      <c r="P150" s="10" t="n">
        <v>274452</v>
      </c>
      <c r="Q150" s="17" t="n">
        <v>35</v>
      </c>
      <c r="R150" s="10">
        <f>IFERROR(_xlfn.XLOOKUP($A150,Profitability!$A$5:$A$342,Profitability!$Q$5:$Q$342),"na")</f>
        <v/>
      </c>
      <c r="S150" s="10">
        <f>IFERROR(_xlfn.XLOOKUP($A150,Profitability!$A$5:$A$342,Profitability!$R$5:$R$342),"na")</f>
        <v/>
      </c>
      <c r="T150" s="8" t="inlineStr">
        <is>
          <t>Public</t>
        </is>
      </c>
      <c r="U150" s="8" t="inlineStr">
        <is>
          <t>Australia</t>
        </is>
      </c>
      <c r="V150" s="9" t="n">
        <v>1995</v>
      </c>
      <c r="W150" s="10" t="inlineStr">
        <is>
          <t>-</t>
        </is>
      </c>
      <c r="X150" s="11" t="n">
        <v>1432.098</v>
      </c>
      <c r="Y150" s="8" t="inlineStr">
        <is>
          <t>Pacific</t>
        </is>
      </c>
      <c r="Z150" s="8" t="inlineStr">
        <is>
          <t>Western Australia (WA)</t>
        </is>
      </c>
      <c r="AA150" s="11" t="n">
        <v>2443.51906022424</v>
      </c>
      <c r="AB150" s="8" t="inlineStr">
        <is>
          <t>Vault Minerals Ltd. is a gold exploration and mining company, which engages in the development and exploration of mineral properties. It operates through the following segments: King of the Hills, Mount Monger, Deflector, and Sugar Zone. The King of the Hills and Mount Monger segments produce gold bullion. The Deflector segment focuses on the production of gold bullion and gold-copper concentrate. The Sugar Zone segment is involved in the production of gold bullion and gold concentrate. The company was founded on March 20, 1995 and is headquartered in South Perth, Australia.</t>
        </is>
      </c>
      <c r="AC150" s="8" t="inlineStr">
        <is>
          <t>Precious Metal Mining</t>
        </is>
      </c>
      <c r="AD150" s="8" t="inlineStr">
        <is>
          <t>Metal Ore Mining</t>
        </is>
      </c>
      <c r="AE150" s="8" t="inlineStr">
        <is>
          <t>Mining and Mineral Products</t>
        </is>
      </c>
      <c r="AF150" s="12" t="inlineStr">
        <is>
          <t>Asia/Pacific Gold Mining</t>
        </is>
      </c>
      <c r="AR150" t="n">
        <v>0.165479</v>
      </c>
    </row>
    <row r="151" ht="15" customHeight="1">
      <c r="A151" s="8" t="inlineStr">
        <is>
          <t>CQE-AU</t>
        </is>
      </c>
      <c r="B151" s="8" t="inlineStr">
        <is>
          <t>Charter Hall Social Infrastructure REIT</t>
        </is>
      </c>
      <c r="C151" s="8" t="n"/>
      <c r="D151" s="8" t="n"/>
      <c r="E151" s="8" t="n"/>
      <c r="F151" s="8" t="n"/>
      <c r="G151" s="8" t="n"/>
      <c r="H151" s="8" t="n"/>
      <c r="I151" s="8" t="n"/>
      <c r="J151" s="8" t="n"/>
      <c r="K151" s="8" t="n"/>
      <c r="L151" s="8" t="n"/>
      <c r="M151" s="8" t="n"/>
      <c r="N151" s="17" t="n"/>
      <c r="O151" s="17" t="n"/>
      <c r="P151" s="17" t="n"/>
      <c r="Q151" s="17" t="n"/>
      <c r="R151" s="10">
        <f>IFERROR(_xlfn.XLOOKUP($A151,Profitability!$A$5:$A$342,Profitability!$Q$5:$Q$342),"na")</f>
        <v/>
      </c>
      <c r="S151" s="10">
        <f>IFERROR(_xlfn.XLOOKUP($A151,Profitability!$A$5:$A$342,Profitability!$R$5:$R$342),"na")</f>
        <v/>
      </c>
      <c r="T151" s="8" t="inlineStr">
        <is>
          <t>Public</t>
        </is>
      </c>
      <c r="U151" s="8" t="inlineStr">
        <is>
          <t>Australia</t>
        </is>
      </c>
      <c r="V151" s="9" t="n">
        <v>2002</v>
      </c>
      <c r="W151" s="10" t="inlineStr">
        <is>
          <t>-</t>
        </is>
      </c>
      <c r="X151" s="11" t="n">
        <v>118.4</v>
      </c>
      <c r="Y151" s="8" t="inlineStr">
        <is>
          <t>Pacific</t>
        </is>
      </c>
      <c r="Z151" s="8" t="inlineStr">
        <is>
          <t>New South Wales (NSW)</t>
        </is>
      </c>
      <c r="AA151" s="11" t="n">
        <v>2130.00005249709</v>
      </c>
      <c r="AB151" s="8" t="inlineStr">
        <is>
          <t>Charter Hall Social Infrastructure REIT engages in investing in early learning properties. It also focuses on the investment in social properties within Australia and New Zealand. The company was founded in November 2002 and is headquartered in Sydney, Australia.</t>
        </is>
      </c>
      <c r="AC151" s="8" t="inlineStr">
        <is>
          <t>Equity REITs</t>
        </is>
      </c>
      <c r="AD151" s="8" t="inlineStr">
        <is>
          <t>Real Estate Investment Trusts (REITs)</t>
        </is>
      </c>
      <c r="AE151" s="8" t="inlineStr">
        <is>
          <t>Real Estate</t>
        </is>
      </c>
      <c r="AF151" s="12" t="inlineStr">
        <is>
          <t>Equity REITs</t>
        </is>
      </c>
      <c r="AR151" t="n">
        <v>0.599662</v>
      </c>
    </row>
    <row r="152" ht="15" customHeight="1">
      <c r="A152" s="8" t="inlineStr">
        <is>
          <t>SUL-AU</t>
        </is>
      </c>
      <c r="B152" s="8" t="inlineStr">
        <is>
          <t>Super Retail Group Ltd.</t>
        </is>
      </c>
      <c r="C152" s="8" t="n"/>
      <c r="D152" s="8" t="n"/>
      <c r="E152" s="8" t="n"/>
      <c r="F152" s="8" t="n"/>
      <c r="G152" s="8" t="n"/>
      <c r="H152" s="8" t="n"/>
      <c r="I152" s="8" t="n"/>
      <c r="J152" s="8" t="n"/>
      <c r="K152" s="8" t="n"/>
      <c r="L152" s="8" t="n"/>
      <c r="M152" s="8" t="n"/>
      <c r="N152" s="17" t="n"/>
      <c r="O152" s="17" t="n"/>
      <c r="P152" s="17" t="n">
        <v>804</v>
      </c>
      <c r="Q152" s="10" t="n">
        <v>54084</v>
      </c>
      <c r="R152" s="10">
        <f>IFERROR(_xlfn.XLOOKUP($A152,Profitability!$A$5:$A$342,Profitability!$Q$5:$Q$342),"na")</f>
        <v/>
      </c>
      <c r="S152" s="10">
        <f>IFERROR(_xlfn.XLOOKUP($A152,Profitability!$A$5:$A$342,Profitability!$R$5:$R$342),"na")</f>
        <v/>
      </c>
      <c r="T152" s="8" t="inlineStr">
        <is>
          <t>Public</t>
        </is>
      </c>
      <c r="U152" s="8" t="inlineStr">
        <is>
          <t>Australia</t>
        </is>
      </c>
      <c r="V152" s="9" t="n">
        <v>2004</v>
      </c>
      <c r="W152" s="10" t="n">
        <v>15981</v>
      </c>
      <c r="X152" s="11" t="n">
        <v>4070.28653498197</v>
      </c>
      <c r="Y152" s="8" t="inlineStr">
        <is>
          <t>Pacific</t>
        </is>
      </c>
      <c r="Z152" s="8" t="inlineStr">
        <is>
          <t>Queensland (QLD)</t>
        </is>
      </c>
      <c r="AA152" s="11" t="n">
        <v>3750.8950143215</v>
      </c>
      <c r="AB152" s="8" t="inlineStr">
        <is>
          <t>Super Retail Group Ltd. engages in the retail and distribution of auto parts, tools, sports equipment, and apparel. It operates through the following segments: Supercheap Auto (SCA), Rebel, BCF, and Macpac. The SCA segment retails auto parts and accessories, tools and equipment. The Rebel segment is involved in retailing sporting equipment and apparel. The BCF segment refers to retailing boating, camping, outdoor equipment, fishing equipment, and apparel. The Macpac segment is associated with retailing apparel, camping, and outdoor equipment. The company was founded by Reginald Allen Rowe and Hazel Rowe in 1972 and is headquartered in Strathpine, Australia.</t>
        </is>
      </c>
      <c r="AC152" s="8" t="inlineStr">
        <is>
          <t>Entertainment Retail</t>
        </is>
      </c>
      <c r="AD152" s="8" t="inlineStr">
        <is>
          <t>Electronics and Entertainment Retail</t>
        </is>
      </c>
      <c r="AE152" s="8" t="inlineStr">
        <is>
          <t>Consumer Retail</t>
        </is>
      </c>
      <c r="AF152" s="12" t="inlineStr">
        <is>
          <t>Other Entertainment Retail</t>
        </is>
      </c>
      <c r="AH152" t="n">
        <v>1565</v>
      </c>
      <c r="AJ152" t="inlineStr">
        <is>
          <t>Citation(s): [26, 27]</t>
        </is>
      </c>
      <c r="AK152" t="n">
        <v>51946</v>
      </c>
      <c r="AM152" t="inlineStr">
        <is>
          <t>Citation(s): [26, 27]</t>
        </is>
      </c>
      <c r="AN152" t="n">
        <v>3419</v>
      </c>
      <c r="AP152" t="inlineStr">
        <is>
          <t>Includes limited categories (Air travel: 3,291 tCO₂ + Road travel: 128 tCO₂). Citation(s): [28, 29]</t>
        </is>
      </c>
      <c r="AR152" t="n">
        <v>0.054495</v>
      </c>
    </row>
    <row r="153" ht="15" customHeight="1">
      <c r="A153" s="8" t="inlineStr">
        <is>
          <t>DTL-AU</t>
        </is>
      </c>
      <c r="B153" s="8" t="inlineStr">
        <is>
          <t>Data#3 Ltd.</t>
        </is>
      </c>
      <c r="C153" s="8" t="n"/>
      <c r="D153" s="8" t="n"/>
      <c r="E153" s="8" t="n"/>
      <c r="F153" s="8" t="n"/>
      <c r="G153" s="8" t="n"/>
      <c r="H153" s="8" t="n"/>
      <c r="I153" s="8" t="n"/>
      <c r="J153" s="8" t="n"/>
      <c r="K153" s="8" t="n"/>
      <c r="L153" s="8" t="n"/>
      <c r="M153" s="8" t="n"/>
      <c r="N153" s="17" t="n"/>
      <c r="O153" s="17" t="n"/>
      <c r="P153" s="17" t="n"/>
      <c r="Q153" s="17" t="n"/>
      <c r="R153" s="10">
        <f>IFERROR(_xlfn.XLOOKUP($A153,Profitability!$A$5:$A$342,Profitability!$Q$5:$Q$342),"na")</f>
        <v/>
      </c>
      <c r="S153" s="10">
        <f>IFERROR(_xlfn.XLOOKUP($A153,Profitability!$A$5:$A$342,Profitability!$R$5:$R$342),"na")</f>
        <v/>
      </c>
      <c r="T153" s="8" t="inlineStr">
        <is>
          <t>Public</t>
        </is>
      </c>
      <c r="U153" s="8" t="inlineStr">
        <is>
          <t>Australia</t>
        </is>
      </c>
      <c r="V153" s="9" t="n">
        <v>1984</v>
      </c>
      <c r="W153" s="10" t="n">
        <v>1446</v>
      </c>
      <c r="X153" s="11" t="n">
        <v>852.659</v>
      </c>
      <c r="Y153" s="8" t="inlineStr">
        <is>
          <t>Pacific</t>
        </is>
      </c>
      <c r="Z153" s="8" t="inlineStr">
        <is>
          <t>Queensland (QLD)</t>
        </is>
      </c>
      <c r="AA153" s="11" t="n">
        <v>949.672023406109</v>
      </c>
      <c r="AB153" s="8" t="inlineStr">
        <is>
          <t>Data#3 Ltd. engages in the provision of on premise, outsourced, and cloud technology solutions in a hybrid information technology throughout Australia and Asia Pacific. The company was founded by Terry Powell and Graham Clark in 1977 and is headquartered in Brisbane, Australia.</t>
        </is>
      </c>
      <c r="AC153" s="8" t="inlineStr">
        <is>
          <t>Infrastructure and Network Consulting Services</t>
        </is>
      </c>
      <c r="AD153" s="8" t="inlineStr">
        <is>
          <t>Technology Consulting Services</t>
        </is>
      </c>
      <c r="AE153" s="8" t="inlineStr">
        <is>
          <t>Software and Consulting</t>
        </is>
      </c>
      <c r="AF153" s="12" t="inlineStr">
        <is>
          <t>Network Design and Implementation Consulting</t>
        </is>
      </c>
      <c r="AH153" t="n">
        <v>57</v>
      </c>
      <c r="AJ153" t="inlineStr">
        <is>
          <t>Calculated total: Transport Fuels (7.3) + Stationary Fuels (2.4) + Synthetic Greenhouse Gases (47.3). Citation(s): [10]</t>
        </is>
      </c>
      <c r="AK153" t="n">
        <v>577</v>
      </c>
      <c r="AM153" t="inlineStr">
        <is>
          <t>Electricity. Citation(s): [11]</t>
        </is>
      </c>
      <c r="AN153" t="n">
        <v>4500</v>
      </c>
      <c r="AP153" t="inlineStr">
        <is>
          <t>Calculated total of all other listed components (e.g., Purchased goods, Business Travel, Employee Commuting). Citation(s): [10, 11]</t>
        </is>
      </c>
      <c r="AR153" t="n">
        <v>0.056522</v>
      </c>
    </row>
    <row r="154" ht="15" customHeight="1">
      <c r="A154" s="8" t="inlineStr">
        <is>
          <t>VGN-AU</t>
        </is>
      </c>
      <c r="B154" s="8" t="inlineStr">
        <is>
          <t>Virgin Australia Holdings Ltd.</t>
        </is>
      </c>
      <c r="C154" s="8" t="n"/>
      <c r="D154" s="8" t="n"/>
      <c r="E154" s="8" t="n"/>
      <c r="F154" s="8" t="n"/>
      <c r="G154" s="8" t="n"/>
      <c r="H154" s="8" t="n"/>
      <c r="I154" s="8" t="n"/>
      <c r="J154" s="8" t="n"/>
      <c r="K154" s="8" t="n"/>
      <c r="L154" s="8" t="n"/>
      <c r="M154" s="8" t="n"/>
      <c r="N154" s="17" t="n"/>
      <c r="O154" s="17" t="n"/>
      <c r="P154" s="10" t="n">
        <v>2103081</v>
      </c>
      <c r="Q154" s="10" t="n">
        <v>7702</v>
      </c>
      <c r="R154" s="10">
        <f>IFERROR(_xlfn.XLOOKUP($A154,Profitability!$A$5:$A$342,Profitability!$Q$5:$Q$342),"na")</f>
        <v/>
      </c>
      <c r="S154" s="10">
        <f>IFERROR(_xlfn.XLOOKUP($A154,Profitability!$A$5:$A$342,Profitability!$R$5:$R$342),"na")</f>
        <v/>
      </c>
      <c r="T154" s="8" t="inlineStr">
        <is>
          <t>Public</t>
        </is>
      </c>
      <c r="U154" s="8" t="inlineStr">
        <is>
          <t>Australia</t>
        </is>
      </c>
      <c r="V154" s="9" t="n">
        <v>2002</v>
      </c>
      <c r="W154" s="10" t="inlineStr">
        <is>
          <t>-</t>
        </is>
      </c>
      <c r="X154" s="11" t="n">
        <v>5782</v>
      </c>
      <c r="Y154" s="8" t="inlineStr">
        <is>
          <t>Pacific</t>
        </is>
      </c>
      <c r="Z154" s="8" t="inlineStr">
        <is>
          <t>Queensland (QLD)</t>
        </is>
      </c>
      <c r="AA154" s="11" t="n">
        <v>4872.10012008031</v>
      </c>
      <c r="AB154" s="8" t="inlineStr">
        <is>
          <t>Virgin Australia Holdings Ltd. engages in the provision of domestic and international airline services. It operates through the Airlines and Velocity segments. The Airlines segment provides airline services. The Velocity segment deals with the loyalty program industry. The company was founded by Brett Alan Godfrey on August 1, 2000 and is headquartered in South Brisbane, Australia.</t>
        </is>
      </c>
      <c r="AC154" s="8" t="inlineStr">
        <is>
          <t>Air Passenger Transportation</t>
        </is>
      </c>
      <c r="AD154" s="8" t="inlineStr">
        <is>
          <t>Passenger Transportation</t>
        </is>
      </c>
      <c r="AE154" s="8" t="inlineStr">
        <is>
          <t>Industrial Services</t>
        </is>
      </c>
      <c r="AF154" s="12" t="inlineStr">
        <is>
          <t>Asia/Pacific Air Passenger Service Providers</t>
        </is>
      </c>
      <c r="AR154" t="n">
        <v>0.082757</v>
      </c>
    </row>
    <row r="155" ht="15" customHeight="1">
      <c r="A155" s="8" t="inlineStr">
        <is>
          <t>ABG-AU</t>
        </is>
      </c>
      <c r="B155" s="8" t="inlineStr">
        <is>
          <t>Abacus Group</t>
        </is>
      </c>
      <c r="C155" s="8" t="n"/>
      <c r="D155" s="8" t="n"/>
      <c r="E155" s="8" t="n"/>
      <c r="F155" s="8" t="n"/>
      <c r="G155" s="8" t="n"/>
      <c r="H155" s="8" t="n"/>
      <c r="I155" s="8" t="n"/>
      <c r="J155" s="8" t="n"/>
      <c r="K155" s="8" t="n"/>
      <c r="L155" s="8" t="n"/>
      <c r="M155" s="8" t="n"/>
      <c r="N155" s="17" t="n"/>
      <c r="O155" s="17" t="n"/>
      <c r="P155" s="17" t="n"/>
      <c r="Q155" s="17" t="n"/>
      <c r="R155" s="10">
        <f>IFERROR(_xlfn.XLOOKUP($A155,Profitability!$A$5:$A$342,Profitability!$Q$5:$Q$342),"na")</f>
        <v/>
      </c>
      <c r="S155" s="10">
        <f>IFERROR(_xlfn.XLOOKUP($A155,Profitability!$A$5:$A$342,Profitability!$R$5:$R$342),"na")</f>
        <v/>
      </c>
      <c r="T155" s="8" t="inlineStr">
        <is>
          <t>Public</t>
        </is>
      </c>
      <c r="U155" s="8" t="inlineStr">
        <is>
          <t>Australia</t>
        </is>
      </c>
      <c r="V155" s="9" t="n">
        <v>2020</v>
      </c>
      <c r="W155" s="10" t="inlineStr">
        <is>
          <t>-</t>
        </is>
      </c>
      <c r="X155" s="11" t="n">
        <v>176.407999999999</v>
      </c>
      <c r="Y155" s="8" t="inlineStr">
        <is>
          <t>Pacific</t>
        </is>
      </c>
      <c r="Z155" s="8" t="inlineStr">
        <is>
          <t>New South Wales (NSW)</t>
        </is>
      </c>
      <c r="AA155" s="11" t="n">
        <v>2593.61706392364</v>
      </c>
      <c r="AB155" s="8" t="inlineStr">
        <is>
          <t>Abacus Group engages in the investment in self-storage, office, retail,and industrial properties. The company was founded in 1996 and is headquartered in Sydney, Australia.</t>
        </is>
      </c>
      <c r="AC155" s="8" t="inlineStr">
        <is>
          <t>Equity REITs</t>
        </is>
      </c>
      <c r="AD155" s="8" t="inlineStr">
        <is>
          <t>Real Estate Investment Trusts (REITs)</t>
        </is>
      </c>
      <c r="AE155" s="8" t="inlineStr">
        <is>
          <t>Real Estate</t>
        </is>
      </c>
      <c r="AF155" s="12" t="inlineStr">
        <is>
          <t>Equity REITs</t>
        </is>
      </c>
      <c r="AH155" t="n">
        <v>1233</v>
      </c>
      <c r="AJ155" t="inlineStr">
        <is>
          <t>Citation(s): [34]</t>
        </is>
      </c>
      <c r="AK155" t="n">
        <v>5659</v>
      </c>
      <c r="AM155" t="inlineStr">
        <is>
          <t>Citation(s): [34]</t>
        </is>
      </c>
      <c r="AR155" t="n">
        <v>0.152544</v>
      </c>
    </row>
    <row r="156" ht="15" customHeight="1">
      <c r="A156" s="8" t="inlineStr">
        <is>
          <t>BOL-AU</t>
        </is>
      </c>
      <c r="B156" s="8" t="inlineStr">
        <is>
          <t>Boom Logistics Ltd.</t>
        </is>
      </c>
      <c r="C156" s="8" t="n"/>
      <c r="D156" s="8" t="n"/>
      <c r="E156" s="8" t="n"/>
      <c r="F156" s="8" t="n"/>
      <c r="G156" s="8" t="n"/>
      <c r="H156" s="8" t="n"/>
      <c r="I156" s="8" t="n"/>
      <c r="J156" s="8" t="n"/>
      <c r="K156" s="8" t="n"/>
      <c r="L156" s="8" t="n"/>
      <c r="M156" s="8" t="n"/>
      <c r="N156" s="17" t="n"/>
      <c r="O156" s="17" t="n"/>
      <c r="P156" s="17" t="n"/>
      <c r="Q156" s="17" t="n"/>
      <c r="R156" s="10">
        <f>IFERROR(_xlfn.XLOOKUP($A156,Profitability!$A$5:$A$342,Profitability!$Q$5:$Q$342),"na")</f>
        <v/>
      </c>
      <c r="S156" s="10">
        <f>IFERROR(_xlfn.XLOOKUP($A156,Profitability!$A$5:$A$342,Profitability!$R$5:$R$342),"na")</f>
        <v/>
      </c>
      <c r="T156" s="8" t="inlineStr">
        <is>
          <t>Public</t>
        </is>
      </c>
      <c r="U156" s="8" t="inlineStr">
        <is>
          <t>Australia</t>
        </is>
      </c>
      <c r="V156" s="9" t="n">
        <v>2000</v>
      </c>
      <c r="W156" s="10" t="n">
        <v>800</v>
      </c>
      <c r="X156" s="11" t="n">
        <v>264.552999999999</v>
      </c>
      <c r="Y156" s="8" t="inlineStr">
        <is>
          <t>Pacific</t>
        </is>
      </c>
      <c r="Z156" s="8" t="inlineStr">
        <is>
          <t>Victoria (VIC)</t>
        </is>
      </c>
      <c r="AA156" s="11" t="n">
        <v>277.949006850474</v>
      </c>
      <c r="AB156" s="8" t="inlineStr">
        <is>
          <t>Boom Logistics Ltd. engages in the provision of crane logistics and lifting solutions. It operates through the following business segments: Lifting Solutions, and Labour Hire. The Lifting Solutions segment consists of all lifting activities including the provision of cranes, travel towers, access equipment and all associated services. The Labour Hire segment includes the provision of skilled labour with range of trades, such as, electricians, boiler makers, mechanics, plus the traditional crane and travel tower operators, riggers, and truck drivers. The company was founded on December 22, 2000 and is headquartered in Southbank, Australia.</t>
        </is>
      </c>
      <c r="AC156" s="8" t="inlineStr">
        <is>
          <t>Specialty Contracting Services</t>
        </is>
      </c>
      <c r="AD156" s="8" t="inlineStr">
        <is>
          <t>Facilities and Construction Services</t>
        </is>
      </c>
      <c r="AE156" s="8" t="inlineStr">
        <is>
          <t>Industrial Services</t>
        </is>
      </c>
      <c r="AF156" s="12" t="inlineStr">
        <is>
          <t>Industrial Specialty Engineering Contractors</t>
        </is>
      </c>
      <c r="AR156" t="n">
        <v>0.088118</v>
      </c>
    </row>
    <row r="157" ht="15" customHeight="1">
      <c r="A157" s="8" t="inlineStr">
        <is>
          <t>LKE-AU</t>
        </is>
      </c>
      <c r="B157" s="8" t="inlineStr">
        <is>
          <t>Lake Resources NL</t>
        </is>
      </c>
      <c r="C157" s="8" t="n"/>
      <c r="D157" s="8" t="n"/>
      <c r="E157" s="8" t="n"/>
      <c r="F157" s="8" t="n"/>
      <c r="G157" s="8" t="n"/>
      <c r="H157" s="8" t="n"/>
      <c r="I157" s="8" t="n"/>
      <c r="J157" s="8" t="n"/>
      <c r="K157" s="8" t="n"/>
      <c r="L157" s="8" t="n"/>
      <c r="M157" s="8" t="n"/>
      <c r="N157" s="17" t="n"/>
      <c r="O157" s="17" t="n"/>
      <c r="P157" s="17" t="n"/>
      <c r="Q157" s="17" t="n"/>
      <c r="R157" s="10">
        <f>IFERROR(_xlfn.XLOOKUP($A157,Profitability!$A$5:$A$342,Profitability!$Q$5:$Q$342),"na")</f>
        <v/>
      </c>
      <c r="S157" s="10">
        <f>IFERROR(_xlfn.XLOOKUP($A157,Profitability!$A$5:$A$342,Profitability!$R$5:$R$342),"na")</f>
        <v/>
      </c>
      <c r="T157" s="8" t="inlineStr">
        <is>
          <t>Public</t>
        </is>
      </c>
      <c r="U157" s="8" t="inlineStr">
        <is>
          <t>Australia</t>
        </is>
      </c>
      <c r="V157" s="9" t="n">
        <v>1997</v>
      </c>
      <c r="W157" s="10" t="n">
        <v>30000</v>
      </c>
      <c r="X157" s="11" t="n">
        <v>0</v>
      </c>
      <c r="Y157" s="8" t="inlineStr">
        <is>
          <t>Pacific</t>
        </is>
      </c>
      <c r="Z157" s="8" t="inlineStr">
        <is>
          <t>New South Wales (NSW)</t>
        </is>
      </c>
      <c r="AA157" s="11" t="n">
        <v>177.634979656398</v>
      </c>
      <c r="AB157" s="8" t="inlineStr">
        <is>
          <t>Lake Resources NL, is a lithium exploration company, which focuses on exploring lithium basins and pegmatites in Argentina. Its flagship project is the Kachi Project located in Catamarca province in Argentina’s Lithium Triangle. It also has additional early-stage projects in this region, at Cauchari, Olaroz, and Paso de Jama. The company was founded on July 24, 1997 and is headquartered in Sydney, Australia.</t>
        </is>
      </c>
      <c r="AC157" s="8" t="inlineStr">
        <is>
          <t>Base Metal Mining</t>
        </is>
      </c>
      <c r="AD157" s="8" t="inlineStr">
        <is>
          <t>Metal Ore Mining</t>
        </is>
      </c>
      <c r="AE157" s="8" t="inlineStr">
        <is>
          <t>Mining and Mineral Products</t>
        </is>
      </c>
      <c r="AF157" s="12" t="inlineStr">
        <is>
          <t>Lithium Ore Mining</t>
        </is>
      </c>
    </row>
    <row r="158" ht="15" customHeight="1">
      <c r="A158" s="8" t="inlineStr">
        <is>
          <t>AEL-AU</t>
        </is>
      </c>
      <c r="B158" s="8" t="inlineStr">
        <is>
          <t>Amplitude Energy Ltd.</t>
        </is>
      </c>
      <c r="C158" s="8" t="n"/>
      <c r="D158" s="8" t="n"/>
      <c r="E158" s="8" t="n"/>
      <c r="F158" s="8" t="n"/>
      <c r="G158" s="8" t="n"/>
      <c r="H158" s="8" t="n"/>
      <c r="I158" s="8" t="n"/>
      <c r="J158" s="8" t="n"/>
      <c r="K158" s="8" t="n"/>
      <c r="L158" s="8" t="n"/>
      <c r="M158" s="8" t="n"/>
      <c r="N158" s="17" t="n"/>
      <c r="O158" s="17" t="n"/>
      <c r="P158" s="10" t="n">
        <v>126582</v>
      </c>
      <c r="Q158" s="10" t="n">
        <v>3030</v>
      </c>
      <c r="R158" s="10">
        <f>IFERROR(_xlfn.XLOOKUP($A158,Profitability!$A$5:$A$342,Profitability!$Q$5:$Q$342),"na")</f>
        <v/>
      </c>
      <c r="S158" s="10">
        <f>IFERROR(_xlfn.XLOOKUP($A158,Profitability!$A$5:$A$342,Profitability!$R$5:$R$342),"na")</f>
        <v/>
      </c>
      <c r="T158" s="8" t="inlineStr">
        <is>
          <t>Public</t>
        </is>
      </c>
      <c r="U158" s="8" t="inlineStr">
        <is>
          <t>Australia</t>
        </is>
      </c>
      <c r="V158" s="9" t="n">
        <v>2001</v>
      </c>
      <c r="W158" s="10" t="n">
        <v>146</v>
      </c>
      <c r="X158" s="11" t="n">
        <v>268.061</v>
      </c>
      <c r="Y158" s="8" t="inlineStr">
        <is>
          <t>Pacific</t>
        </is>
      </c>
      <c r="Z158" s="8" t="inlineStr">
        <is>
          <t>South Australia (SA)</t>
        </is>
      </c>
      <c r="AA158" s="11" t="n">
        <v>1357.87103346679</v>
      </c>
      <c r="AB158" s="8" t="inlineStr">
        <is>
          <t>Amplitude Energy Ltd.is an oil and gas exploration and development company. It operates through the following segments: Cooper Basin, South-East Australia and Corporate and Other. The Cooper Basin segment engages in the exploration and evaluation of oil and gas and production and sale of crude oil in the Group's permits within the Cooper Basin. The South-East Australia segment consists of the Sole Gas Project, the operated Casino Henry producing gas assets and Athena Gas Plant, the Manta Gas Project and the non-operated depleted Minerva field. The Corporate and Other segment includes the revenue and costs associated with the running of the business and includes items which are not directly allocable to the other segments. The company was founded on March 9, 2001 and is headquartered in Adelaide, Australia.</t>
        </is>
      </c>
      <c r="AC158" s="8" t="inlineStr">
        <is>
          <t>Other Fossil Fuel Exploration and Production</t>
        </is>
      </c>
      <c r="AD158" s="8" t="inlineStr">
        <is>
          <t>Fossil Fuel Exploration and Production</t>
        </is>
      </c>
      <c r="AE158" s="8" t="inlineStr">
        <is>
          <t>Upstream Energy</t>
        </is>
      </c>
      <c r="AF158" s="12" t="inlineStr">
        <is>
          <t>Asia/Pacific Fossil Fuel Exploration/Production</t>
        </is>
      </c>
      <c r="AH158" t="n">
        <v>83609</v>
      </c>
      <c r="AJ158" t="inlineStr">
        <is>
          <t>Citation(s): [1]</t>
        </is>
      </c>
      <c r="AK158" t="n">
        <v>1542</v>
      </c>
      <c r="AM158" t="inlineStr">
        <is>
          <t>Citation(s): [1]</t>
        </is>
      </c>
      <c r="AN158" t="n">
        <v>1484405</v>
      </c>
      <c r="AP158" t="inlineStr">
        <is>
          <t>Total Scope 3, including customer emissions. Relevant Scope 3 emissions were 18,505 tCO2-e. Citation(s): [1, 2]</t>
        </is>
      </c>
      <c r="AR158" t="n">
        <v>-0.154185</v>
      </c>
    </row>
    <row r="159" ht="15" customHeight="1">
      <c r="A159" s="8" t="inlineStr">
        <is>
          <t>RMS-AU</t>
        </is>
      </c>
      <c r="B159" s="8" t="inlineStr">
        <is>
          <t>Ramelius Resources Ltd.</t>
        </is>
      </c>
      <c r="C159" s="8" t="n"/>
      <c r="D159" s="8" t="n"/>
      <c r="E159" s="8" t="n"/>
      <c r="F159" s="8" t="n"/>
      <c r="G159" s="8" t="n"/>
      <c r="H159" s="8" t="n"/>
      <c r="I159" s="8" t="n"/>
      <c r="J159" s="8" t="n"/>
      <c r="K159" s="8" t="n"/>
      <c r="L159" s="8" t="n"/>
      <c r="M159" s="8" t="n"/>
      <c r="N159" s="17" t="n"/>
      <c r="O159" s="17" t="n"/>
      <c r="P159" s="10" t="n">
        <v>118366</v>
      </c>
      <c r="Q159" s="10" t="n">
        <v>28674</v>
      </c>
      <c r="R159" s="10">
        <f>IFERROR(_xlfn.XLOOKUP($A159,Profitability!$A$5:$A$342,Profitability!$Q$5:$Q$342),"na")</f>
        <v/>
      </c>
      <c r="S159" s="10">
        <f>IFERROR(_xlfn.XLOOKUP($A159,Profitability!$A$5:$A$342,Profitability!$R$5:$R$342),"na")</f>
        <v/>
      </c>
      <c r="T159" s="8" t="inlineStr">
        <is>
          <t>Public</t>
        </is>
      </c>
      <c r="U159" s="8" t="inlineStr">
        <is>
          <t>Australia</t>
        </is>
      </c>
      <c r="V159" s="9" t="n">
        <v>1979</v>
      </c>
      <c r="W159" s="10" t="n">
        <v>250</v>
      </c>
      <c r="X159" s="11" t="n">
        <v>1203.24499999999</v>
      </c>
      <c r="Y159" s="8" t="inlineStr">
        <is>
          <t>Pacific</t>
        </is>
      </c>
      <c r="Z159" s="8" t="inlineStr">
        <is>
          <t>Western Australia (WA)</t>
        </is>
      </c>
      <c r="AA159" s="11" t="n">
        <v>2410.38605940762</v>
      </c>
      <c r="AB159" s="8" t="inlineStr">
        <is>
          <t>Ramelius Resources Ltd. engages in the development and exploration of mines. Its projects include Dalgaranga Gold Mine, Edna May Gold Mine, Mt. Magnet Gold Mine, Eridanus, Hill 60, Shannon, Penny Gold Mine, Symes Gold Mine, Tampia Gold Mine, Cue Gold, Edna May Gold, Mount Magnet Gold Exploration, Rebecca Gold, and Roe Gold. It operates through the following segments: Mt. Magnet, Edna May, and Exploration. The Mt. Magnet segment refers to mining and processing of gold from the Mount Magnet region. The Edna May segment focuses on the mining and processing of gold from the Edna May region. The Exploration segment includes exploration and evaluation of gold mineralization. The company was founded on May 4, 1979 and is headquartered in Perth, Australia.</t>
        </is>
      </c>
      <c r="AC159" s="8" t="inlineStr">
        <is>
          <t>Precious Metal Mining</t>
        </is>
      </c>
      <c r="AD159" s="8" t="inlineStr">
        <is>
          <t>Metal Ore Mining</t>
        </is>
      </c>
      <c r="AE159" s="8" t="inlineStr">
        <is>
          <t>Mining and Mineral Products</t>
        </is>
      </c>
      <c r="AF159" s="12" t="inlineStr">
        <is>
          <t>Asia/Pacific Gold Mining</t>
        </is>
      </c>
      <c r="AH159" t="n">
        <v>103087</v>
      </c>
      <c r="AI159" t="n">
        <v>1</v>
      </c>
      <c r="AJ159" t="inlineStr">
        <is>
          <t>GHG Emissions,,FY25,FY24,FY23
Total Scope 1 Emissions,Metric tonnes,"103,087","118,369","122,977"
,(tCO₂-e),,,</t>
        </is>
      </c>
      <c r="AK159" t="n">
        <v>19668</v>
      </c>
      <c r="AL159" t="n">
        <v>1</v>
      </c>
      <c r="AM159" t="inlineStr">
        <is>
          <t>,(tCO₂-e),,,
Emissions intensity per ounce gold produced,tCO₂-e/oz,0.41,0.50,0.63
(group total),,,,</t>
        </is>
      </c>
      <c r="AN159" t="n">
        <v>166131</v>
      </c>
      <c r="AO159" t="n">
        <v>1</v>
      </c>
      <c r="AP159" t="inlineStr">
        <is>
          <t>Engagement,community investment and engagement,
,(assuming a minimum of $2/oz).,
Ethics &amp; Human,"All employees to receive whistleblower,",Target achieved.</t>
        </is>
      </c>
      <c r="AQ159" t="n">
        <v>3</v>
      </c>
      <c r="AR159" t="n">
        <v>0.394074</v>
      </c>
      <c r="AS159" t="n">
        <v>0.002493</v>
      </c>
    </row>
    <row r="160" ht="15" customHeight="1">
      <c r="A160" s="8" t="inlineStr">
        <is>
          <t>HLO-AU</t>
        </is>
      </c>
      <c r="B160" s="8" t="inlineStr">
        <is>
          <t>Helloworld Travel Ltd.</t>
        </is>
      </c>
      <c r="C160" s="8" t="n"/>
      <c r="D160" s="8" t="n"/>
      <c r="E160" s="8" t="n"/>
      <c r="F160" s="8" t="n"/>
      <c r="G160" s="8" t="n"/>
      <c r="H160" s="8" t="n"/>
      <c r="I160" s="8" t="n"/>
      <c r="J160" s="8" t="n"/>
      <c r="K160" s="8" t="n"/>
      <c r="L160" s="8" t="n"/>
      <c r="M160" s="8" t="n"/>
      <c r="N160" s="17" t="n"/>
      <c r="O160" s="17" t="n"/>
      <c r="P160" s="17" t="n"/>
      <c r="Q160" s="17" t="n"/>
      <c r="R160" s="10">
        <f>IFERROR(_xlfn.XLOOKUP($A160,Profitability!$A$5:$A$342,Profitability!$Q$5:$Q$342),"na")</f>
        <v/>
      </c>
      <c r="S160" s="10">
        <f>IFERROR(_xlfn.XLOOKUP($A160,Profitability!$A$5:$A$342,Profitability!$R$5:$R$342),"na")</f>
        <v/>
      </c>
      <c r="T160" s="8" t="inlineStr">
        <is>
          <t>Public</t>
        </is>
      </c>
      <c r="U160" s="8" t="inlineStr">
        <is>
          <t>Australia</t>
        </is>
      </c>
      <c r="V160" s="9" t="n">
        <v>2000</v>
      </c>
      <c r="W160" s="10" t="n">
        <v>919</v>
      </c>
      <c r="X160" s="11" t="n">
        <v>186.276</v>
      </c>
      <c r="Y160" s="8" t="inlineStr">
        <is>
          <t>Pacific</t>
        </is>
      </c>
      <c r="Z160" s="8" t="inlineStr">
        <is>
          <t>Victoria (VIC)</t>
        </is>
      </c>
      <c r="AA160" s="11" t="n">
        <v>568.149014002895</v>
      </c>
      <c r="AB160" s="8" t="inlineStr">
        <is>
          <t>Helloworld Travel Ltd. engages in the selling of international and domestic travel products and services. It operates through the following geographical segments: Australia, New Zealand, Rest of World (ROW); and Transport, Logistics, and Warehousing. The Australia and New Zealand segments focuses on retail distribution operations, air ticketing, wholesale and inbound, and travel management businesses. The ROW segment includes wholesale businesses of Insider Journeys, Tourist Transport Fiji and Qantas Vacations in North America, in addition to the inbound business in Fiji. The Transport, Logistics, and Warehousing segment refers to entertainment industry transport and logistics, and warehousing. The company was founded in 2000 and is headquartered in South Melbourne, Australia.</t>
        </is>
      </c>
      <c r="AC160" s="8" t="inlineStr">
        <is>
          <t>Travel Arrangement and Reservation Services</t>
        </is>
      </c>
      <c r="AD160" s="8" t="inlineStr">
        <is>
          <t>Hospitality Services</t>
        </is>
      </c>
      <c r="AE160" s="8" t="inlineStr">
        <is>
          <t>Hospitality Services</t>
        </is>
      </c>
      <c r="AF160" s="12" t="inlineStr">
        <is>
          <t>Travel Agencies</t>
        </is>
      </c>
      <c r="AR160" t="n">
        <v>0.17765</v>
      </c>
    </row>
    <row r="161" ht="15" customHeight="1">
      <c r="A161" s="8" t="inlineStr">
        <is>
          <t>CCP-AU</t>
        </is>
      </c>
      <c r="B161" s="8" t="inlineStr">
        <is>
          <t>Credit Corp. Group Ltd.</t>
        </is>
      </c>
      <c r="C161" s="8" t="n"/>
      <c r="D161" s="8" t="n"/>
      <c r="E161" s="8" t="n"/>
      <c r="F161" s="8" t="n"/>
      <c r="G161" s="8" t="n"/>
      <c r="H161" s="8" t="n"/>
      <c r="I161" s="8" t="n"/>
      <c r="J161" s="8" t="n"/>
      <c r="K161" s="8" t="n"/>
      <c r="L161" s="8" t="n"/>
      <c r="M161" s="8" t="n"/>
      <c r="N161" s="17" t="n"/>
      <c r="O161" s="17" t="n"/>
      <c r="P161" s="17" t="n"/>
      <c r="Q161" s="17" t="n"/>
      <c r="R161" s="10">
        <f>IFERROR(_xlfn.XLOOKUP($A161,Profitability!$A$5:$A$342,Profitability!$Q$5:$Q$342),"na")</f>
        <v/>
      </c>
      <c r="S161" s="10">
        <f>IFERROR(_xlfn.XLOOKUP($A161,Profitability!$A$5:$A$342,Profitability!$R$5:$R$342),"na")</f>
        <v/>
      </c>
      <c r="T161" s="8" t="inlineStr">
        <is>
          <t>Public</t>
        </is>
      </c>
      <c r="U161" s="8" t="inlineStr">
        <is>
          <t>Australia</t>
        </is>
      </c>
      <c r="V161" s="9" t="n">
        <v>2000</v>
      </c>
      <c r="W161" s="10" t="n">
        <v>2149</v>
      </c>
      <c r="X161" s="11" t="n">
        <v>545.636999999999</v>
      </c>
      <c r="Y161" s="8" t="inlineStr">
        <is>
          <t>Pacific</t>
        </is>
      </c>
      <c r="Z161" s="8" t="inlineStr">
        <is>
          <t>New South Wales (NSW)</t>
        </is>
      </c>
      <c r="AA161" s="11" t="n">
        <v>1398.14203445933</v>
      </c>
      <c r="AB161" s="8" t="inlineStr">
        <is>
          <t>Credit Corp. Group Ltd. engages in debt purchase and debt collection services. It operates through Debt Ledger Purchasing-Australia &amp; New Zealand, Debt Ledger Purchasing-United States, and Consumer Lending segments. The Debt Ledger Purchasing-Australia &amp; New Zealand segment includes the contingent collection services business in Australia and New Zealand. The Debt Ledger Purchasing-United States segment purchases consumer debts at a discount to their face value from credit providers in the United States, with the objective of recovering amounts in excess of the purchase price over the collection life cycle of the receivables to produce a return. The Consumer Lending segment offers various financial products to impaired consumers. The company was founded in 1992 and is headquartered in Sydney, Australia.</t>
        </is>
      </c>
      <c r="AC161" s="8" t="inlineStr">
        <is>
          <t>Commercial Finance Services</t>
        </is>
      </c>
      <c r="AD161" s="8" t="inlineStr">
        <is>
          <t>Specialty Finance</t>
        </is>
      </c>
      <c r="AE161" s="8" t="inlineStr">
        <is>
          <t>Specialty Finance and Services</t>
        </is>
      </c>
      <c r="AF161" s="12" t="inlineStr">
        <is>
          <t>Diversified Loan Services</t>
        </is>
      </c>
      <c r="AH161" t="n">
        <v>13</v>
      </c>
      <c r="AI161" t="n">
        <v>1</v>
      </c>
      <c r="AJ161" t="inlineStr">
        <is>
          <t>Refrigerants1,13,—,—,—,13
Total Scope 1 emissions,13,—,—,—,13
Scope 2 emissions,,,,,</t>
        </is>
      </c>
      <c r="AK161" t="n">
        <v>719</v>
      </c>
      <c r="AL161" t="n">
        <v>1</v>
      </c>
      <c r="AM161" t="inlineStr">
        <is>
          <t>Electricity – Location-based approach 1,626,407,617,559</t>
        </is>
      </c>
      <c r="AN161" t="n">
        <v>0</v>
      </c>
      <c r="AQ161" t="n">
        <v>0</v>
      </c>
      <c r="AR161" t="n">
        <v>0.17245</v>
      </c>
      <c r="AS161" t="n">
        <v>0</v>
      </c>
    </row>
    <row r="162" ht="15" customHeight="1">
      <c r="A162" s="8" t="inlineStr">
        <is>
          <t>RMC-AU</t>
        </is>
      </c>
      <c r="B162" s="8" t="inlineStr">
        <is>
          <t>Resimac Group Ltd.</t>
        </is>
      </c>
      <c r="C162" s="8" t="n"/>
      <c r="D162" s="8" t="n"/>
      <c r="E162" s="8" t="n"/>
      <c r="F162" s="8" t="n"/>
      <c r="G162" s="8" t="n"/>
      <c r="H162" s="8" t="n"/>
      <c r="I162" s="8" t="n"/>
      <c r="J162" s="8" t="n"/>
      <c r="K162" s="8" t="n"/>
      <c r="L162" s="8" t="n"/>
      <c r="M162" s="8" t="n"/>
      <c r="N162" s="17" t="n"/>
      <c r="O162" s="17" t="n"/>
      <c r="P162" s="17" t="n"/>
      <c r="Q162" s="17" t="n"/>
      <c r="R162" s="10">
        <f>IFERROR(_xlfn.XLOOKUP($A162,Profitability!$A$5:$A$342,Profitability!$Q$5:$Q$342),"na")</f>
        <v/>
      </c>
      <c r="S162" s="10">
        <f>IFERROR(_xlfn.XLOOKUP($A162,Profitability!$A$5:$A$342,Profitability!$R$5:$R$342),"na")</f>
        <v/>
      </c>
      <c r="T162" s="8" t="inlineStr">
        <is>
          <t>Public</t>
        </is>
      </c>
      <c r="U162" s="8" t="inlineStr">
        <is>
          <t>Australia</t>
        </is>
      </c>
      <c r="V162" s="9" t="n">
        <v>2000</v>
      </c>
      <c r="W162" s="10" t="inlineStr">
        <is>
          <t>-</t>
        </is>
      </c>
      <c r="X162" s="11" t="n">
        <v>1076.45699999999</v>
      </c>
      <c r="Y162" s="8" t="inlineStr">
        <is>
          <t>Pacific</t>
        </is>
      </c>
      <c r="Z162" s="8" t="inlineStr">
        <is>
          <t>New South Wales (NSW)</t>
        </is>
      </c>
      <c r="AA162" s="11" t="n">
        <v>16856.5494154552</v>
      </c>
      <c r="AB162" s="8" t="inlineStr">
        <is>
          <t>Resimac Group Ltd. engages in the provision of mortgage origination and management of home loans. Its business model comprises originating, servicing and funding prime, non-conforming residential mortgages, and asset finance products in Australia and New Zealand. The firm operates through the following segments: Home Loan Lending Business, New Zealand Lending Business, and Asset Finance Lending Business. The Home Loan Lending Business manages Australian mortgage distribution and lending, including income from new loans, portfolio margins, and commissions from various loan sources. The New Zealand Lending Business handles mortgage lending in New Zealand. The Asset Finance Lending Business deals in Australian auto, equipment, business loans, and insurance premium loans. The company was founded by Timothy Alastair Holmes and Robert Peter Salmon in 1985 and is headquartered in Sydney, Australia.</t>
        </is>
      </c>
      <c r="AC162" s="8" t="inlineStr">
        <is>
          <t>Mortgage Banking</t>
        </is>
      </c>
      <c r="AD162" s="8" t="inlineStr">
        <is>
          <t>Mortgage Banking</t>
        </is>
      </c>
      <c r="AE162" s="8" t="inlineStr">
        <is>
          <t>Banking</t>
        </is>
      </c>
      <c r="AF162" s="12" t="inlineStr">
        <is>
          <t>Residential Mortgage Banking and Services</t>
        </is>
      </c>
      <c r="AR162" t="n">
        <v>0.032128</v>
      </c>
    </row>
    <row r="163" ht="15" customHeight="1">
      <c r="A163" s="8" t="inlineStr">
        <is>
          <t>WEB-AU</t>
        </is>
      </c>
      <c r="B163" s="8" t="inlineStr">
        <is>
          <t>WEB Travel Group Ltd.</t>
        </is>
      </c>
      <c r="C163" s="8" t="n"/>
      <c r="D163" s="8" t="n"/>
      <c r="E163" s="8" t="n"/>
      <c r="F163" s="8" t="n"/>
      <c r="G163" s="8" t="n"/>
      <c r="H163" s="8" t="n"/>
      <c r="I163" s="8" t="n"/>
      <c r="J163" s="8" t="n"/>
      <c r="K163" s="8" t="n"/>
      <c r="L163" s="8" t="n"/>
      <c r="M163" s="8" t="n"/>
      <c r="N163" s="17" t="n"/>
      <c r="O163" s="17" t="n"/>
      <c r="P163" s="17" t="n"/>
      <c r="Q163" s="17" t="n"/>
      <c r="R163" s="10">
        <f>IFERROR(_xlfn.XLOOKUP($A163,Profitability!$A$5:$A$342,Profitability!$Q$5:$Q$342),"na")</f>
        <v/>
      </c>
      <c r="S163" s="10">
        <f>IFERROR(_xlfn.XLOOKUP($A163,Profitability!$A$5:$A$342,Profitability!$R$5:$R$342),"na")</f>
        <v/>
      </c>
      <c r="T163" s="8" t="inlineStr">
        <is>
          <t>Public</t>
        </is>
      </c>
      <c r="U163" s="8" t="inlineStr">
        <is>
          <t>Australia</t>
        </is>
      </c>
      <c r="V163" s="9" t="n">
        <v>1980</v>
      </c>
      <c r="W163" s="10" t="n">
        <v>1900</v>
      </c>
      <c r="X163" s="11" t="n">
        <v>328.399999999999</v>
      </c>
      <c r="Y163" s="8" t="inlineStr">
        <is>
          <t>Pacific</t>
        </is>
      </c>
      <c r="Z163" s="8" t="inlineStr">
        <is>
          <t>Victoria (VIC)</t>
        </is>
      </c>
      <c r="AA163" s="11" t="n">
        <v>1525.100021844</v>
      </c>
      <c r="AB163" s="8" t="inlineStr">
        <is>
          <t>WEB Travel Group Ltd. provides online travel booking services. It is an online travel agency, which enables customers to search and book the domestic and international travel flight deals, travel insurance, car hire, and hotel accommodation worldwide. The Company was founded by David Clarke, Allan Nahum, and John Lemish in 1998 and is headquartered in Melbourne, Australia.</t>
        </is>
      </c>
      <c r="AC163" s="8" t="inlineStr">
        <is>
          <t>Travel Arrangement and Reservation Services</t>
        </is>
      </c>
      <c r="AD163" s="8" t="inlineStr">
        <is>
          <t>Hospitality Services</t>
        </is>
      </c>
      <c r="AE163" s="8" t="inlineStr">
        <is>
          <t>Hospitality Services</t>
        </is>
      </c>
      <c r="AF163" s="12" t="inlineStr">
        <is>
          <t>Travel Agencies</t>
        </is>
      </c>
      <c r="AH163" t="n">
        <v>29</v>
      </c>
      <c r="AI163" t="n">
        <v>1</v>
      </c>
      <c r="AJ163" t="inlineStr">
        <is>
          <t>,,"and services 2.55%
and distribution 0.003%"
,"employees working from home, and the number of days per week",</t>
        </is>
      </c>
      <c r="AK163" t="n">
        <v>940</v>
      </c>
      <c r="AL163" t="n">
        <v>1</v>
      </c>
      <c r="AM163">
        <f>== Table 1 (page 18) ===
FY25 IN REVIEW. (CONTINUED),,</f>
        <v/>
      </c>
      <c r="AN163" t="n">
        <v>648559</v>
      </c>
      <c r="AO163" t="n">
        <v>1</v>
      </c>
      <c r="AP163" t="inlineStr">
        <is>
          <t>,based on the m2 area of sites.,
•,"Scope 3 Categories 1, 2, 4, &amp; 6 emissions were calculated based on",
,the spend.,</t>
        </is>
      </c>
      <c r="AQ163" t="n">
        <v>0</v>
      </c>
      <c r="AR163" t="n">
        <v>0.0338</v>
      </c>
      <c r="AS163" t="n">
        <v>0</v>
      </c>
    </row>
    <row r="164" ht="15" customHeight="1">
      <c r="A164" s="8" t="inlineStr">
        <is>
          <t>REA-AU</t>
        </is>
      </c>
      <c r="B164" s="8" t="inlineStr">
        <is>
          <t>REA Group Ltd.</t>
        </is>
      </c>
      <c r="C164" s="8" t="n"/>
      <c r="D164" s="8" t="n"/>
      <c r="E164" s="8" t="n"/>
      <c r="F164" s="8" t="n"/>
      <c r="G164" s="8" t="n"/>
      <c r="H164" s="8" t="n"/>
      <c r="I164" s="8" t="n"/>
      <c r="J164" s="8" t="n"/>
      <c r="K164" s="8" t="n"/>
      <c r="L164" s="8" t="n"/>
      <c r="M164" s="8" t="n"/>
      <c r="N164" s="17" t="n"/>
      <c r="O164" s="17" t="n"/>
      <c r="P164" s="17" t="n"/>
      <c r="Q164" s="17" t="n"/>
      <c r="R164" s="10">
        <f>IFERROR(_xlfn.XLOOKUP($A164,Profitability!$A$5:$A$342,Profitability!$Q$5:$Q$342),"na")</f>
        <v/>
      </c>
      <c r="S164" s="10">
        <f>IFERROR(_xlfn.XLOOKUP($A164,Profitability!$A$5:$A$342,Profitability!$R$5:$R$342),"na")</f>
        <v/>
      </c>
      <c r="T164" s="8" t="inlineStr">
        <is>
          <t>Public</t>
        </is>
      </c>
      <c r="U164" s="8" t="inlineStr">
        <is>
          <t>Australia</t>
        </is>
      </c>
      <c r="V164" s="9" t="n">
        <v>1995</v>
      </c>
      <c r="W164" s="10" t="n">
        <v>3418</v>
      </c>
      <c r="X164" s="11" t="n">
        <v>1896.5</v>
      </c>
      <c r="Y164" s="8" t="inlineStr">
        <is>
          <t>Pacific</t>
        </is>
      </c>
      <c r="Z164" s="8" t="inlineStr">
        <is>
          <t>Victoria (VIC)</t>
        </is>
      </c>
      <c r="AA164" s="11" t="n">
        <v>2882.80007105099</v>
      </c>
      <c r="AB164" s="8" t="inlineStr">
        <is>
          <t>REA Group Ltd. engages in the provision of property and property-related services on websites and mobile apps across Australia and Asia. It operates through the Property &amp; Online Advertising and Financial Services segments. The Property &amp; Online Advertising segment derives revenue from Australia, Asia and North America operations. The Financial Services segment consists of commissions earned from mortgage broking and home financing solutions offered to consumers. The company was founded in 1995 and is headquartered in Richmond, Australia.</t>
        </is>
      </c>
      <c r="AC164" s="8" t="inlineStr">
        <is>
          <t>Marketing and Advertising Services</t>
        </is>
      </c>
      <c r="AD164" s="8" t="inlineStr">
        <is>
          <t>Marketing and Printing Services</t>
        </is>
      </c>
      <c r="AE164" s="8" t="inlineStr">
        <is>
          <t>Business Services</t>
        </is>
      </c>
      <c r="AF164" s="12" t="inlineStr">
        <is>
          <t>Other Marketing and Advertising Services</t>
        </is>
      </c>
      <c r="AH164" t="n">
        <v>74</v>
      </c>
      <c r="AJ164" t="inlineStr">
        <is>
          <t>Scope 2 uses market-based methodology [19]. Total Scope 3 emissions for FY25 [20].</t>
        </is>
      </c>
      <c r="AK164" t="n">
        <v>418</v>
      </c>
      <c r="AM164" t="inlineStr">
        <is>
          <t>Scope 2 uses market-based methodology [19]. Total Scope 3 emissions for FY25 [20].</t>
        </is>
      </c>
      <c r="AN164" t="n">
        <v>46046</v>
      </c>
      <c r="AP164" t="inlineStr">
        <is>
          <t>Scope 2 uses market-based methodology [19]. Total Scope 3 emissions for FY25 [20].</t>
        </is>
      </c>
      <c r="AR164" t="n">
        <v>0.357448</v>
      </c>
    </row>
    <row r="165" ht="15" customHeight="1">
      <c r="A165" s="8" t="inlineStr">
        <is>
          <t>DMP-AU</t>
        </is>
      </c>
      <c r="B165" s="8" t="inlineStr">
        <is>
          <t>Domino'S Pizza Enterprises Ltd.</t>
        </is>
      </c>
      <c r="C165" s="8" t="n"/>
      <c r="D165" s="8" t="n"/>
      <c r="E165" s="8" t="n"/>
      <c r="F165" s="8" t="n"/>
      <c r="G165" s="8" t="n"/>
      <c r="H165" s="8" t="n"/>
      <c r="I165" s="8" t="n"/>
      <c r="J165" s="8" t="n"/>
      <c r="K165" s="8" t="n"/>
      <c r="L165" s="8" t="n"/>
      <c r="M165" s="8" t="n"/>
      <c r="N165" s="17" t="n"/>
      <c r="O165" s="17" t="n"/>
      <c r="P165" s="17" t="n"/>
      <c r="Q165" s="17" t="n"/>
      <c r="R165" s="10">
        <f>IFERROR(_xlfn.XLOOKUP($A165,Profitability!$A$5:$A$342,Profitability!$Q$5:$Q$342),"na")</f>
        <v/>
      </c>
      <c r="S165" s="10">
        <f>IFERROR(_xlfn.XLOOKUP($A165,Profitability!$A$5:$A$342,Profitability!$R$5:$R$342),"na")</f>
        <v/>
      </c>
      <c r="T165" s="8" t="inlineStr">
        <is>
          <t>Public</t>
        </is>
      </c>
      <c r="U165" s="8" t="inlineStr">
        <is>
          <t>Australia</t>
        </is>
      </c>
      <c r="V165" s="9" t="n">
        <v>1983</v>
      </c>
      <c r="W165" s="10" t="n">
        <v>537</v>
      </c>
      <c r="X165" s="11" t="n">
        <v>2296.98326721612</v>
      </c>
      <c r="Y165" s="8" t="inlineStr">
        <is>
          <t>Pacific</t>
        </is>
      </c>
      <c r="Z165" s="8" t="inlineStr">
        <is>
          <t>Queensland (QLD)</t>
        </is>
      </c>
      <c r="AA165" s="11" t="n">
        <v>2680.21090199537</v>
      </c>
      <c r="AB165" s="8" t="inlineStr">
        <is>
          <t>Domino's Pizza Enterprises Ltd. engages in the management of retail food outlets and franchise services. It operates through the following geographical segments: Australia/New Zealand (ANZ), Europe, and Asia. The company was founded on December 27, 1983, and is headquartered in Brisbane, Australia.</t>
        </is>
      </c>
      <c r="AC165" s="8" t="inlineStr">
        <is>
          <t>Restaurants and Bars</t>
        </is>
      </c>
      <c r="AD165" s="8" t="inlineStr">
        <is>
          <t>Hospitality Services</t>
        </is>
      </c>
      <c r="AE165" s="8" t="inlineStr">
        <is>
          <t>Hospitality Services</t>
        </is>
      </c>
      <c r="AF165" s="12" t="inlineStr">
        <is>
          <t>Limited-Service and Fast Food Restaurants</t>
        </is>
      </c>
      <c r="AH165" t="n">
        <v>15500</v>
      </c>
      <c r="AJ165" t="inlineStr">
        <is>
          <t>Estimated as 1% of the 1.55 MTCO2eq total footprint. Citation(s): [12]</t>
        </is>
      </c>
      <c r="AK165" t="n">
        <v>31000</v>
      </c>
      <c r="AM165" t="inlineStr">
        <is>
          <t>Estimated as 2% of the 1.55 MTCO2eq total footprint. Citation(s): [12]</t>
        </is>
      </c>
      <c r="AN165" t="n">
        <v>1503500</v>
      </c>
      <c r="AP165" t="inlineStr">
        <is>
          <t>Estimated as 97% of the 1.55 MTCO2eq total footprint. Citation(s): [12]</t>
        </is>
      </c>
      <c r="AR165" t="n">
        <v>-0.001613</v>
      </c>
    </row>
    <row r="166" ht="15" customHeight="1">
      <c r="A166" s="8" t="inlineStr">
        <is>
          <t>GPT-AU</t>
        </is>
      </c>
      <c r="B166" s="8" t="inlineStr">
        <is>
          <t>GPT Group</t>
        </is>
      </c>
      <c r="C166" s="8" t="n"/>
      <c r="D166" s="8" t="n"/>
      <c r="E166" s="8" t="n"/>
      <c r="F166" s="8" t="n"/>
      <c r="G166" s="8" t="n"/>
      <c r="H166" s="8" t="n"/>
      <c r="I166" s="8" t="n"/>
      <c r="J166" s="8" t="n"/>
      <c r="K166" s="8" t="n"/>
      <c r="L166" s="8" t="n"/>
      <c r="M166" s="8" t="n"/>
      <c r="N166" s="17" t="n"/>
      <c r="O166" s="17" t="n"/>
      <c r="P166" s="17" t="n"/>
      <c r="Q166" s="17" t="n"/>
      <c r="R166" s="10">
        <f>IFERROR(_xlfn.XLOOKUP($A166,Profitability!$A$5:$A$342,Profitability!$Q$5:$Q$342),"na")</f>
        <v/>
      </c>
      <c r="S166" s="10">
        <f>IFERROR(_xlfn.XLOOKUP($A166,Profitability!$A$5:$A$342,Profitability!$R$5:$R$342),"na")</f>
        <v/>
      </c>
      <c r="T166" s="8" t="inlineStr">
        <is>
          <t>Public</t>
        </is>
      </c>
      <c r="U166" s="8" t="inlineStr">
        <is>
          <t>Australia</t>
        </is>
      </c>
      <c r="V166" s="9" t="n">
        <v>1971</v>
      </c>
      <c r="W166" s="10" t="inlineStr">
        <is>
          <t>-</t>
        </is>
      </c>
      <c r="X166" s="11" t="n">
        <v>992.4</v>
      </c>
      <c r="Y166" s="8" t="inlineStr">
        <is>
          <t>Pacific</t>
        </is>
      </c>
      <c r="Z166" s="8" t="inlineStr">
        <is>
          <t>New South Wales (NSW)</t>
        </is>
      </c>
      <c r="AA166" s="11" t="n">
        <v>15629.7995151908</v>
      </c>
      <c r="AB166" s="8" t="inlineStr">
        <is>
          <t>GPT Group operates as a real estate investment property trust. It invests in retail, commercial, hotel, industrial, and office park properties. It operates through the following segments: Retail, Office, Logistics, and Corporate. The Retail segment includes regional and sub-regional shopping centers as well as equity investment in GPT Wholesale Shopping Centre Fund. The Office segment comprises of prime central business district office properties including some associated retail space as well as GPT's equity investment in GPT Wholesale Office Fund. The Logistics segment manages logistics and business park assets and on equity investment in GPT Metro Office Fund. The Corporate segment involves in cash and other assets and borrowings and associated hedges plus resulting net finance costs, management operating costs and income tax expenses. The company was founded by Dick Dusseldorp in 1971 and is headquartered in Sydney, Australia.</t>
        </is>
      </c>
      <c r="AC166" s="8" t="inlineStr">
        <is>
          <t>Equity REITs</t>
        </is>
      </c>
      <c r="AD166" s="8" t="inlineStr">
        <is>
          <t>Real Estate Investment Trusts (REITs)</t>
        </is>
      </c>
      <c r="AE166" s="8" t="inlineStr">
        <is>
          <t>Real Estate</t>
        </is>
      </c>
      <c r="AF166" s="12" t="inlineStr">
        <is>
          <t>Equity REITs</t>
        </is>
      </c>
      <c r="AH166" t="n">
        <v>6590</v>
      </c>
      <c r="AI166" t="n">
        <v>1</v>
      </c>
      <c r="AJ166" t="inlineStr">
        <is>
          <t>Key Metrics and Targets – Climate resilience and decarbonisation,,,
Table 7: GPT key climate metrics and targets,,,
Key Performance Indicator,Specific goal or target,Metrics and Progress,Notes</t>
        </is>
      </c>
      <c r="AK166" t="n">
        <v>21357</v>
      </c>
      <c r="AL166" t="n">
        <v>1</v>
      </c>
      <c r="AM166" t="inlineStr">
        <is>
          <t>,2030 target:,Baseline:,contracted foreseeable needs until 2030 with an assumption of the
,0 kgCO2e/m2 (with offsets) and,2005: 136 kgCO2e/m2 (no offsets in 2005),requirements based on the current development pipeline and portfolio
,3 kgCO2e/m2 (without offsets),,"scale. Beyond 2030, any new targets will have a dependency on being able"</t>
        </is>
      </c>
      <c r="AN166" t="n">
        <v>0</v>
      </c>
      <c r="AQ166" t="n">
        <v>42</v>
      </c>
      <c r="AR166" t="n">
        <v>-0.202237</v>
      </c>
      <c r="AS166" t="n">
        <v>0.042322</v>
      </c>
    </row>
    <row r="167" ht="15" customHeight="1">
      <c r="A167" s="8" t="inlineStr">
        <is>
          <t>IGO-AU</t>
        </is>
      </c>
      <c r="B167" s="8" t="inlineStr">
        <is>
          <t>IGO Ltd.</t>
        </is>
      </c>
      <c r="C167" s="8" t="n"/>
      <c r="D167" s="8" t="n"/>
      <c r="E167" s="8" t="n"/>
      <c r="F167" s="8" t="n"/>
      <c r="G167" s="8" t="n"/>
      <c r="H167" s="8" t="n"/>
      <c r="I167" s="8" t="n"/>
      <c r="J167" s="8" t="n"/>
      <c r="K167" s="8" t="n"/>
      <c r="L167" s="8" t="n"/>
      <c r="M167" s="8" t="n"/>
      <c r="N167" s="17" t="n"/>
      <c r="O167" s="17" t="n"/>
      <c r="P167" s="10" t="n">
        <v>111037</v>
      </c>
      <c r="Q167" s="10" t="n">
        <v>22707</v>
      </c>
      <c r="R167" s="10">
        <f>IFERROR(_xlfn.XLOOKUP($A167,Profitability!$A$5:$A$342,Profitability!$Q$5:$Q$342),"na")</f>
        <v/>
      </c>
      <c r="S167" s="10">
        <f>IFERROR(_xlfn.XLOOKUP($A167,Profitability!$A$5:$A$342,Profitability!$R$5:$R$342),"na")</f>
        <v/>
      </c>
      <c r="T167" s="8" t="inlineStr">
        <is>
          <t>Public</t>
        </is>
      </c>
      <c r="U167" s="8" t="inlineStr">
        <is>
          <t>Australia</t>
        </is>
      </c>
      <c r="V167" s="9" t="n">
        <v>2000</v>
      </c>
      <c r="W167" s="10" t="inlineStr">
        <is>
          <t>-</t>
        </is>
      </c>
      <c r="X167" s="11" t="n">
        <v>499.899999999999</v>
      </c>
      <c r="Y167" s="8" t="inlineStr">
        <is>
          <t>Pacific</t>
        </is>
      </c>
      <c r="Z167" s="8" t="inlineStr">
        <is>
          <t>Western Australia (WA)</t>
        </is>
      </c>
      <c r="AA167" s="11" t="n">
        <v>2356.30005807459</v>
      </c>
      <c r="AB167" s="8" t="inlineStr">
        <is>
          <t>IGO Ltd. is a mining and exploration company focused on metals critical to clean energy, primarily nickel, copper, cobalt and lithium. The company's operations include the Nova Nickel-Copper Cobalt Project, located east of Norseman in Western Australia, which is an underground mine and processing operation which supplies nickel and copper concentrates. IGO is also invested in a joint venture with Tianqi Lithium Corporation which holds interests in the Greenbushes Lithium Mine and a downstream lithium hydroxide refinery located in Kwinana, Western Australia. The company is also active in exploration for new nickel, copper and lithium deposits, with significant landholdings in Western Australia, Northern Territory, South Australia and also in Greenland. The company was founded in May 2000 and is headquartered in South Perth, Australia.</t>
        </is>
      </c>
      <c r="AC167" s="8" t="inlineStr">
        <is>
          <t>Base Metal Mining</t>
        </is>
      </c>
      <c r="AD167" s="8" t="inlineStr">
        <is>
          <t>Metal Ore Mining</t>
        </is>
      </c>
      <c r="AE167" s="8" t="inlineStr">
        <is>
          <t>Mining and Mineral Products</t>
        </is>
      </c>
      <c r="AF167" s="12" t="inlineStr">
        <is>
          <t>Non-Ferrous Metal Ore Mining</t>
        </is>
      </c>
      <c r="AH167" t="n">
        <v>65861</v>
      </c>
      <c r="AI167" t="n">
        <v>1</v>
      </c>
      <c r="AJ167" t="inlineStr">
        <is>
          <t>,,,,,FY25 Proportion of spend
"FY24 (0)
0",,,emissions,Land rehabilitated,</t>
        </is>
      </c>
      <c r="AK167" t="n">
        <v>3692</v>
      </c>
      <c r="AL167" t="n">
        <v>1</v>
      </c>
      <c r="AM167" t="inlineStr">
        <is>
          <t>,,,,,
,,,"FY24 (133,741.3tCO2-e)",FY24 (207.2 ha),3.2% FY24 (2.2%)
,,,,,</t>
        </is>
      </c>
      <c r="AN167" t="n">
        <v>205625</v>
      </c>
      <c r="AO167" t="n">
        <v>1</v>
      </c>
      <c r="AP167" t="inlineStr">
        <is>
          <t>,,,,,FY25 Proportion of spend
"FY24 (0)
0",,,emissions,Land rehabilitated,</t>
        </is>
      </c>
      <c r="AQ167" t="n">
        <v>50</v>
      </c>
      <c r="AR167" t="n">
        <v>-1.909582</v>
      </c>
      <c r="AS167" t="n">
        <v>0.10002</v>
      </c>
    </row>
    <row r="168" ht="15" customHeight="1">
      <c r="A168" s="8" t="inlineStr">
        <is>
          <t>GMG-AU</t>
        </is>
      </c>
      <c r="B168" s="8" t="inlineStr">
        <is>
          <t>Goodman Group</t>
        </is>
      </c>
      <c r="C168" s="8" t="n"/>
      <c r="D168" s="8" t="n"/>
      <c r="E168" s="8" t="n"/>
      <c r="F168" s="8" t="n"/>
      <c r="G168" s="8" t="n"/>
      <c r="H168" s="8" t="n"/>
      <c r="I168" s="8" t="n"/>
      <c r="J168" s="8" t="n"/>
      <c r="K168" s="8" t="n"/>
      <c r="L168" s="8" t="n"/>
      <c r="M168" s="8" t="n"/>
      <c r="N168" s="17" t="n"/>
      <c r="O168" s="17" t="n"/>
      <c r="P168" s="17" t="n"/>
      <c r="Q168" s="17" t="n"/>
      <c r="R168" s="10">
        <f>IFERROR(_xlfn.XLOOKUP($A168,Profitability!$A$5:$A$342,Profitability!$Q$5:$Q$342),"na")</f>
        <v/>
      </c>
      <c r="S168" s="10">
        <f>IFERROR(_xlfn.XLOOKUP($A168,Profitability!$A$5:$A$342,Profitability!$R$5:$R$342),"na")</f>
        <v/>
      </c>
      <c r="T168" s="8" t="inlineStr">
        <is>
          <t>Public</t>
        </is>
      </c>
      <c r="U168" s="8" t="inlineStr">
        <is>
          <t>Australia</t>
        </is>
      </c>
      <c r="V168" s="9" t="n">
        <v>1989</v>
      </c>
      <c r="W168" s="10" t="n">
        <v>1030</v>
      </c>
      <c r="X168" s="11" t="n">
        <v>2293</v>
      </c>
      <c r="Y168" s="8" t="inlineStr">
        <is>
          <t>Pacific</t>
        </is>
      </c>
      <c r="Z168" s="8" t="inlineStr">
        <is>
          <t>New South Wales (NSW)</t>
        </is>
      </c>
      <c r="AA168" s="11" t="n">
        <v>31631.5007796064</v>
      </c>
      <c r="AB168" s="8" t="inlineStr">
        <is>
          <t>Goodman Group operates as a provider of essential infrastructure. It owns, develops and manages high quality, sustainable logistics properties and data centres in major global cities, that are critical to the digital economy. The firm properties portfolio includes logistics and distribution centres, warehouses, light industrial, multi-storey industrial, business parks and data centres. The company was founded by Gregory Leith Goodman in 1989 and is headquartered in Sydney, Australia.</t>
        </is>
      </c>
      <c r="AC168" s="8" t="inlineStr">
        <is>
          <t>Equity REITs</t>
        </is>
      </c>
      <c r="AD168" s="8" t="inlineStr">
        <is>
          <t>Real Estate Investment Trusts (REITs)</t>
        </is>
      </c>
      <c r="AE168" s="8" t="inlineStr">
        <is>
          <t>Real Estate</t>
        </is>
      </c>
      <c r="AF168" s="12" t="inlineStr">
        <is>
          <t>Equity REITs</t>
        </is>
      </c>
      <c r="AH168" t="n">
        <v>3819</v>
      </c>
      <c r="AI168" t="n">
        <v>1</v>
      </c>
      <c r="AJ168" t="inlineStr">
        <is>
          <t>,,Refrigerants,"1,414","1,360","1,775","1,972","1,709"
,Total Scope 1,,"3,313","3,105","3,493","3,906","3,819"
,,Electricity (market-,,,,,</t>
        </is>
      </c>
      <c r="AK168" t="n">
        <v>106</v>
      </c>
      <c r="AL168" t="n">
        <v>1</v>
      </c>
      <c r="AM168" t="inlineStr">
        <is>
          <t>,,Electricity,,,,,
,,,"37,065","29,777","32,867","31,862","32,139"
,,(location-based),,,,,</t>
        </is>
      </c>
      <c r="AN168" t="n">
        <v>15213</v>
      </c>
      <c r="AO168" t="n">
        <v>1</v>
      </c>
      <c r="AP168" t="inlineStr">
        <is>
          <t>,Total Scopes 1 and 2,Location based,"40,378","32,882","36,360","35,768","35,958"
,Scope 3,,"12,583","8,964","13,183","13,844","15,213"
,Total Emissions (including Scope 2 - market-based),,"52,961","23,706","19,242","20,320","19,138"</t>
        </is>
      </c>
      <c r="AQ168" t="n">
        <v>1</v>
      </c>
      <c r="AR168" t="n">
        <v>0.726734</v>
      </c>
      <c r="AS168" t="n">
        <v>0.000436</v>
      </c>
    </row>
    <row r="169" ht="15" customHeight="1">
      <c r="A169" s="8" t="inlineStr">
        <is>
          <t>MTS-AU</t>
        </is>
      </c>
      <c r="B169" s="8" t="inlineStr">
        <is>
          <t>Metcash Ltd.</t>
        </is>
      </c>
      <c r="C169" s="8" t="n"/>
      <c r="D169" s="8" t="n"/>
      <c r="E169" s="8" t="n"/>
      <c r="F169" s="8" t="n"/>
      <c r="G169" s="8" t="n"/>
      <c r="H169" s="8" t="n"/>
      <c r="I169" s="8" t="n"/>
      <c r="J169" s="8" t="n"/>
      <c r="K169" s="8" t="n"/>
      <c r="L169" s="8" t="n"/>
      <c r="M169" s="8" t="n"/>
      <c r="N169" s="17" t="n"/>
      <c r="O169" s="17" t="n"/>
      <c r="P169" s="10" t="n">
        <v>16809</v>
      </c>
      <c r="Q169" s="10" t="n">
        <v>54485</v>
      </c>
      <c r="R169" s="10">
        <f>IFERROR(_xlfn.XLOOKUP($A169,Profitability!$A$5:$A$342,Profitability!$Q$5:$Q$342),"na")</f>
        <v/>
      </c>
      <c r="S169" s="10">
        <f>IFERROR(_xlfn.XLOOKUP($A169,Profitability!$A$5:$A$342,Profitability!$R$5:$R$342),"na")</f>
        <v/>
      </c>
      <c r="T169" s="8" t="inlineStr">
        <is>
          <t>Public</t>
        </is>
      </c>
      <c r="U169" s="8" t="inlineStr">
        <is>
          <t>Australia</t>
        </is>
      </c>
      <c r="V169" s="9" t="n">
        <v>1927</v>
      </c>
      <c r="W169" s="10" t="n">
        <v>11500</v>
      </c>
      <c r="X169" s="11" t="n">
        <v>17322.9999999999</v>
      </c>
      <c r="Y169" s="8" t="inlineStr">
        <is>
          <t>Pacific</t>
        </is>
      </c>
      <c r="Z169" s="8" t="inlineStr">
        <is>
          <t>New South Wales (NSW)</t>
        </is>
      </c>
      <c r="AA169" s="11" t="n">
        <v>6892.0998528921</v>
      </c>
      <c r="AB169" s="8" t="inlineStr">
        <is>
          <t>Metcash Ltd. engages in wholesaling, distributing, supplying, and supporting independent retailers and several other businesses networks. It operates through the following segments: Food, Liquor, and Hardware. The Food segment includes the distribution of a range of products and services to independent supermarket and convenience retail outlets. The Liquor segment offers liquor products to independent retail outlets and hotels. The Hardware segment consists of hardware products distributed to independent retail outlets and the operation of company owned retail stores. The company was founded by Joe David in 1927 and is headquartered in Sydney, Australia.</t>
        </is>
      </c>
      <c r="AC169" s="8" t="inlineStr">
        <is>
          <t>Retail Distributors</t>
        </is>
      </c>
      <c r="AD169" s="8" t="inlineStr">
        <is>
          <t>Food and Beverage Retail</t>
        </is>
      </c>
      <c r="AE169" s="8" t="inlineStr">
        <is>
          <t>Food and Staples Retail</t>
        </is>
      </c>
      <c r="AF169" s="12" t="inlineStr">
        <is>
          <t>General Line Grocery Retail</t>
        </is>
      </c>
      <c r="AH169" t="n">
        <v>13225</v>
      </c>
      <c r="AI169" t="n">
        <v>1</v>
      </c>
      <c r="AJ169" t="inlineStr">
        <is>
          <t>,anticipate making appropriate references to the ISSB standards,,,,,,,,
,,,Scope 1,tCO2,"12,472","14,110","15,055","14,576","13,225"
in the FY25 Sustainability Report.,,,,,,,,,</t>
        </is>
      </c>
      <c r="AK169" t="n">
        <v>60434</v>
      </c>
      <c r="AL169" t="n">
        <v>1</v>
      </c>
      <c r="AM169" t="inlineStr">
        <is>
          <t>Scope 2 (location-based method),tCO2,"75,321","71,132","66,180","63,130","60,434"</t>
        </is>
      </c>
      <c r="AN169" t="n">
        <v>1158193</v>
      </c>
      <c r="AO169" t="n">
        <v>1</v>
      </c>
      <c r="AP169" t="inlineStr">
        <is>
          <t>,We remain committed to our 2040 net-zero emissions,"collective effort of our people, partners and stakeholders."
,"reduction target for Scope 1 and 2, and this year reduced",
,,</t>
        </is>
      </c>
      <c r="AQ169" t="n">
        <v>0</v>
      </c>
      <c r="AR169" t="n">
        <v>0.016354</v>
      </c>
      <c r="AS169" t="n">
        <v>0</v>
      </c>
    </row>
    <row r="170" ht="15" customHeight="1">
      <c r="A170" s="8" t="inlineStr">
        <is>
          <t>FSA-AU</t>
        </is>
      </c>
      <c r="B170" s="8" t="inlineStr">
        <is>
          <t>FSA Group Ltd.</t>
        </is>
      </c>
      <c r="C170" s="8" t="n"/>
      <c r="D170" s="8" t="n"/>
      <c r="E170" s="8" t="n"/>
      <c r="F170" s="8" t="n"/>
      <c r="G170" s="8" t="n"/>
      <c r="H170" s="8" t="n"/>
      <c r="I170" s="8" t="n"/>
      <c r="J170" s="8" t="n"/>
      <c r="K170" s="8" t="n"/>
      <c r="L170" s="8" t="n"/>
      <c r="M170" s="8" t="n"/>
      <c r="N170" s="17" t="n"/>
      <c r="O170" s="17" t="n"/>
      <c r="P170" s="17" t="n"/>
      <c r="Q170" s="17" t="n"/>
      <c r="R170" s="10">
        <f>IFERROR(_xlfn.XLOOKUP($A170,Profitability!$A$5:$A$342,Profitability!$Q$5:$Q$342),"na")</f>
        <v/>
      </c>
      <c r="S170" s="10">
        <f>IFERROR(_xlfn.XLOOKUP($A170,Profitability!$A$5:$A$342,Profitability!$R$5:$R$342),"na")</f>
        <v/>
      </c>
      <c r="T170" s="8" t="inlineStr">
        <is>
          <t>Public</t>
        </is>
      </c>
      <c r="U170" s="8" t="inlineStr">
        <is>
          <t>Australia</t>
        </is>
      </c>
      <c r="V170" s="9" t="n">
        <v>2000</v>
      </c>
      <c r="W170" s="10" t="n">
        <v>95</v>
      </c>
      <c r="X170" s="11" t="n">
        <v>123.089933</v>
      </c>
      <c r="Y170" s="8" t="inlineStr">
        <is>
          <t>Pacific</t>
        </is>
      </c>
      <c r="Z170" s="8" t="inlineStr">
        <is>
          <t>New South Wales (NSW)</t>
        </is>
      </c>
      <c r="AA170" s="11" t="n">
        <v>983.920207250208</v>
      </c>
      <c r="AB170" s="8" t="inlineStr">
        <is>
          <t>FSA Group Ltd. engages in the provision of debt solutions and direct lending services to individuals and businesses. It operates through the following business segments: Services, Lending, and Other. The Services segment offers a range of services to assist clients to enter into a payment arrangement with their creditors, including informal arrangements, debt agreements, personal insolvency agreements, and bankruptcy. The Lending segment focuses on offering home loans and personal loans to assist clients to purchase a property or consolidate their debt, or to purchase a motor vehicle and asset finance to SMEs wishing to purchase a vehicle and business-critical equipment. The Other segment represents the unrealized gain or loss on fair value movement of derivatives, parent entity services and intercompany investments, balances, and transactions, which are eliminated upon consolidation. The company was founded in February 2000 and is headquartered in Darlinghurst, Australia.</t>
        </is>
      </c>
      <c r="AC170" s="8" t="inlineStr">
        <is>
          <t>Consulting/Business Process Outsourcing Services</t>
        </is>
      </c>
      <c r="AD170" s="8" t="inlineStr">
        <is>
          <t>Other Professional Services</t>
        </is>
      </c>
      <c r="AE170" s="8" t="inlineStr">
        <is>
          <t>Business Services</t>
        </is>
      </c>
      <c r="AF170" s="12" t="inlineStr">
        <is>
          <t>Other Consulting and Business Process Outsourcing</t>
        </is>
      </c>
      <c r="AH170" t="n">
        <v>22129</v>
      </c>
      <c r="AI170" t="n">
        <v>1</v>
      </c>
      <c r="AJ170" t="inlineStr">
        <is>
          <t>Scope 1 Scope 2 Scope 3
22, 129
1,927 40915,741</t>
        </is>
      </c>
      <c r="AK170" t="n">
        <v>25000</v>
      </c>
      <c r="AL170" t="n">
        <v>1</v>
      </c>
      <c r="AM170" t="inlineStr">
        <is>
          <t>FY25 FY24 FY23
Scope 1 Scope 2 Scope 3
22, 129</t>
        </is>
      </c>
      <c r="AN170" t="n">
        <v>15741</v>
      </c>
      <c r="AO170" t="n">
        <v>1</v>
      </c>
      <c r="AP170" t="inlineStr">
        <is>
          <t>Scope 3 emissions have increased 37.5% compared to FY24, although they remain 2.2% below FY23 levels.</t>
        </is>
      </c>
      <c r="AQ170" t="n">
        <v>0</v>
      </c>
      <c r="AR170" t="n">
        <v>0.085466</v>
      </c>
      <c r="AS170" t="n">
        <v>0</v>
      </c>
    </row>
    <row r="171" ht="15" customHeight="1">
      <c r="A171" s="8" t="inlineStr">
        <is>
          <t>1208-HK</t>
        </is>
      </c>
      <c r="B171" s="8" t="inlineStr">
        <is>
          <t>MMG Ltd.</t>
        </is>
      </c>
      <c r="C171" s="8" t="n"/>
      <c r="D171" s="8" t="n"/>
      <c r="E171" s="8" t="n"/>
      <c r="F171" s="8" t="n"/>
      <c r="G171" s="8" t="n"/>
      <c r="H171" s="8" t="n"/>
      <c r="I171" s="8" t="n"/>
      <c r="J171" s="8" t="n"/>
      <c r="K171" s="8" t="n"/>
      <c r="L171" s="8" t="n"/>
      <c r="M171" s="8" t="n"/>
      <c r="N171" s="17" t="n"/>
      <c r="O171" s="17" t="n"/>
      <c r="P171" s="17" t="n"/>
      <c r="Q171" s="17" t="n"/>
      <c r="R171" s="10">
        <f>IFERROR(_xlfn.XLOOKUP($A171,Profitability!$A$5:$A$342,Profitability!$Q$5:$Q$342),"na")</f>
        <v/>
      </c>
      <c r="S171" s="10">
        <f>IFERROR(_xlfn.XLOOKUP($A171,Profitability!$A$5:$A$342,Profitability!$R$5:$R$342),"na")</f>
        <v/>
      </c>
      <c r="T171" s="8" t="inlineStr">
        <is>
          <t>Public</t>
        </is>
      </c>
      <c r="U171" s="8" t="inlineStr">
        <is>
          <t>Australia</t>
        </is>
      </c>
      <c r="V171" s="9" t="n">
        <v>1988</v>
      </c>
      <c r="W171" s="10" t="n">
        <v>5195</v>
      </c>
      <c r="X171" s="11" t="n">
        <v>6790.79201705416</v>
      </c>
      <c r="Y171" s="8" t="inlineStr">
        <is>
          <t>Pacific</t>
        </is>
      </c>
      <c r="Z171" s="8" t="inlineStr">
        <is>
          <t>Victoria (VIC)</t>
        </is>
      </c>
      <c r="AA171" s="11" t="n">
        <v>24203.9891595551</v>
      </c>
      <c r="AB171" s="8" t="inlineStr">
        <is>
          <t>MMG Ltd. engages in the exploration, development and mining of zinc, copper, gold, silver and lead deposits. It operates through the following segments: Las Bambas, Kinsevere, Dugald River, Rosebery, and Other. The Las Bambas segment is a large open-pit, scalable, long-life copper and moly mining operation with prospective exploration options. The Kinsevere segment includes the open-pit copper mining operation located in the Haut-Katanga Province of the Democratic Republic of the Congo. The Dugald River segment refers to Dugald River mine which is an underground zinc mining operation located near Cloncurry in Northwest Queensland. The Rosebery segment covers an underground polymetallic base metal mining operation located on Tasmania's west coast. The Other segment comprises the Century mine located in North-West Queensland Australia. The company was founded on July 29, 1988 and is headquartered in Southbank, Australia.</t>
        </is>
      </c>
      <c r="AC171" s="8" t="inlineStr">
        <is>
          <t>Base Metal Mining</t>
        </is>
      </c>
      <c r="AD171" s="8" t="inlineStr">
        <is>
          <t>Metal Ore Mining</t>
        </is>
      </c>
      <c r="AE171" s="8" t="inlineStr">
        <is>
          <t>Mining and Mineral Products</t>
        </is>
      </c>
      <c r="AF171" s="12" t="inlineStr">
        <is>
          <t>Non-Ferrous Metal Ore Mining</t>
        </is>
      </c>
      <c r="AH171" t="n">
        <v>648866</v>
      </c>
      <c r="AI171" t="n">
        <v>1</v>
      </c>
      <c r="AJ171" t="inlineStr">
        <is>
          <t>our environmental footprint is a key part of our goal,,,,,,,our operations need to adopt new technologies
,Scope 1,,,,,,
to achieving net zero carbon emissions by 2050 for,,,,,,,to meet our climate commitments. Our Rosebery</t>
        </is>
      </c>
      <c r="AK171" t="n">
        <v>315044</v>
      </c>
      <c r="AL171" t="n">
        <v>1</v>
      </c>
      <c r="AM171" t="inlineStr">
        <is>
          <t>,,,,,,,requirements underground. They also considerably
,Scope 2,,"315,043.80",Downstream T&amp;D,,"42,585.35",
"requirements. Dugald River’s solar farm, which",,,,,,,</t>
        </is>
      </c>
      <c r="AN171" t="n">
        <v>2914385</v>
      </c>
      <c r="AO171" t="n">
        <v>1</v>
      </c>
      <c r="AP171" t="inlineStr">
        <is>
          <t>,,,,,,,in diesel-electric loaders
energy storage and critical infrastructure. All of this,,,,,Scope 3,,
,,Total emissions,Scope 3,,,,</t>
        </is>
      </c>
      <c r="AQ171" t="n">
        <v>1</v>
      </c>
      <c r="AR171" t="n">
        <v>0.036145</v>
      </c>
      <c r="AS171" t="n">
        <v>0.000147</v>
      </c>
    </row>
    <row r="172" ht="15" customHeight="1">
      <c r="A172" s="8" t="inlineStr">
        <is>
          <t>MSB-AU</t>
        </is>
      </c>
      <c r="B172" s="8" t="inlineStr">
        <is>
          <t>Mesoblast Ltd.</t>
        </is>
      </c>
      <c r="C172" s="8" t="n"/>
      <c r="D172" s="8" t="n"/>
      <c r="E172" s="8" t="n"/>
      <c r="F172" s="8" t="n"/>
      <c r="G172" s="8" t="n"/>
      <c r="H172" s="8" t="n"/>
      <c r="I172" s="8" t="n"/>
      <c r="J172" s="8" t="n"/>
      <c r="K172" s="8" t="n"/>
      <c r="L172" s="8" t="n"/>
      <c r="M172" s="8" t="n"/>
      <c r="N172" s="17" t="n"/>
      <c r="O172" s="17" t="n"/>
      <c r="P172" s="17" t="n"/>
      <c r="Q172" s="17" t="n"/>
      <c r="R172" s="10">
        <f>IFERROR(_xlfn.XLOOKUP($A172,Profitability!$A$5:$A$342,Profitability!$Q$5:$Q$342),"na")</f>
        <v/>
      </c>
      <c r="S172" s="10">
        <f>IFERROR(_xlfn.XLOOKUP($A172,Profitability!$A$5:$A$342,Profitability!$R$5:$R$342),"na")</f>
        <v/>
      </c>
      <c r="T172" s="8" t="inlineStr">
        <is>
          <t>Public</t>
        </is>
      </c>
      <c r="U172" s="8" t="inlineStr">
        <is>
          <t>Australia</t>
        </is>
      </c>
      <c r="V172" s="9" t="n">
        <v>2004</v>
      </c>
      <c r="W172" s="10" t="n">
        <v>81</v>
      </c>
      <c r="X172" s="11" t="n">
        <v>26.5552456280989</v>
      </c>
      <c r="Y172" s="8" t="inlineStr">
        <is>
          <t>Pacific</t>
        </is>
      </c>
      <c r="Z172" s="8" t="inlineStr">
        <is>
          <t>Victoria (VIC)</t>
        </is>
      </c>
      <c r="AA172" s="11" t="n">
        <v>1197.3495374146</v>
      </c>
      <c r="AB172" s="8" t="inlineStr">
        <is>
          <t>Mesoblast Ltd. is a biopharmaceutical company, which engages in the research, development, and market of mesenchymal lineage adult stem cell technology platform. Its medicines target cardiovascular diseases, spine orthopedic disorders, oncology and hematology, immune-mediated, and inflammatory diseases. The company was founded by Silviu Itescu on June 8, 2004 and is headquartered in Melbourne, Australia.</t>
        </is>
      </c>
      <c r="AC172" s="8" t="inlineStr">
        <is>
          <t>Transplantation Biopharmaceuticals</t>
        </is>
      </c>
      <c r="AD172" s="8" t="inlineStr">
        <is>
          <t>Other Biopharmaceuticals</t>
        </is>
      </c>
      <c r="AE172" s="8" t="inlineStr">
        <is>
          <t>Biopharmaceuticals</t>
        </is>
      </c>
      <c r="AF172" s="12" t="inlineStr">
        <is>
          <t>Transplantation Biopharmaceuticals</t>
        </is>
      </c>
      <c r="AR172" t="n">
        <v>-5.939179</v>
      </c>
    </row>
    <row r="173" ht="15" customHeight="1">
      <c r="A173" s="8" t="inlineStr">
        <is>
          <t>REX-AU</t>
        </is>
      </c>
      <c r="B173" s="8" t="inlineStr">
        <is>
          <t>Regional Express Holdings Ltd.</t>
        </is>
      </c>
      <c r="C173" s="8" t="n"/>
      <c r="D173" s="8" t="n"/>
      <c r="E173" s="8" t="n"/>
      <c r="F173" s="8" t="n"/>
      <c r="G173" s="8" t="n"/>
      <c r="H173" s="8" t="n"/>
      <c r="I173" s="8" t="n"/>
      <c r="J173" s="8" t="n"/>
      <c r="K173" s="8" t="n"/>
      <c r="L173" s="8" t="n"/>
      <c r="M173" s="8" t="n"/>
      <c r="N173" s="17" t="n"/>
      <c r="O173" s="17" t="n"/>
      <c r="P173" s="10" t="n">
        <v>243723</v>
      </c>
      <c r="Q173" s="10" t="n">
        <v>1432</v>
      </c>
      <c r="R173" s="10">
        <f>IFERROR(_xlfn.XLOOKUP($A173,Profitability!$A$5:$A$342,Profitability!$Q$5:$Q$342),"na")</f>
        <v/>
      </c>
      <c r="S173" s="10">
        <f>IFERROR(_xlfn.XLOOKUP($A173,Profitability!$A$5:$A$342,Profitability!$R$5:$R$342),"na")</f>
        <v/>
      </c>
      <c r="T173" s="8" t="inlineStr">
        <is>
          <t>Public</t>
        </is>
      </c>
      <c r="U173" s="8" t="inlineStr">
        <is>
          <t>Australia</t>
        </is>
      </c>
      <c r="V173" s="9" t="n">
        <v>2002</v>
      </c>
      <c r="W173" s="10" t="inlineStr">
        <is>
          <t>-</t>
        </is>
      </c>
      <c r="X173" s="11" t="n">
        <v>636.504999999999</v>
      </c>
      <c r="Y173" s="8" t="inlineStr">
        <is>
          <t>Pacific</t>
        </is>
      </c>
      <c r="Z173" s="8" t="inlineStr">
        <is>
          <t>New South Wales (NSW)</t>
        </is>
      </c>
      <c r="AA173" s="11" t="n">
        <v>681.688013449114</v>
      </c>
      <c r="AB173" s="8" t="inlineStr">
        <is>
          <t>Regional Express Holdings Ltd. engages in the provision of air services including the transportation of passengers and freight along with aeromedical services and pilot training. The firm operates through the following segments: Regular Public Transport, Charter and Other, and Training. The company was founded on February 12, 2002 and is headquartered in Mascot, Australia.</t>
        </is>
      </c>
      <c r="AC173" s="8" t="inlineStr">
        <is>
          <t>Air Passenger Transportation</t>
        </is>
      </c>
      <c r="AD173" s="8" t="inlineStr">
        <is>
          <t>Passenger Transportation</t>
        </is>
      </c>
      <c r="AE173" s="8" t="inlineStr">
        <is>
          <t>Industrial Services</t>
        </is>
      </c>
      <c r="AF173" s="12" t="inlineStr">
        <is>
          <t>Asia/Pacific Air Passenger Service Providers</t>
        </is>
      </c>
      <c r="AR173" t="n">
        <v>0.022564</v>
      </c>
    </row>
    <row r="174" ht="15" customHeight="1">
      <c r="A174" s="8" t="inlineStr">
        <is>
          <t>CAR-AU</t>
        </is>
      </c>
      <c r="B174" s="8" t="inlineStr">
        <is>
          <t>CAR Group Ltd.</t>
        </is>
      </c>
      <c r="C174" s="8" t="n"/>
      <c r="D174" s="8" t="n"/>
      <c r="E174" s="8" t="n"/>
      <c r="F174" s="8" t="n"/>
      <c r="G174" s="8" t="n"/>
      <c r="H174" s="8" t="n"/>
      <c r="I174" s="8" t="n"/>
      <c r="J174" s="8" t="n"/>
      <c r="K174" s="8" t="n"/>
      <c r="L174" s="8" t="n"/>
      <c r="M174" s="8" t="n"/>
      <c r="N174" s="17" t="n"/>
      <c r="O174" s="17" t="n"/>
      <c r="P174" s="17" t="n"/>
      <c r="Q174" s="17" t="n"/>
      <c r="R174" s="10">
        <f>IFERROR(_xlfn.XLOOKUP($A174,Profitability!$A$5:$A$342,Profitability!$Q$5:$Q$342),"na")</f>
        <v/>
      </c>
      <c r="S174" s="10">
        <f>IFERROR(_xlfn.XLOOKUP($A174,Profitability!$A$5:$A$342,Profitability!$R$5:$R$342),"na")</f>
        <v/>
      </c>
      <c r="T174" s="8" t="inlineStr">
        <is>
          <t>Public</t>
        </is>
      </c>
      <c r="U174" s="8" t="inlineStr">
        <is>
          <t>Australia</t>
        </is>
      </c>
      <c r="V174" s="9" t="n">
        <v>1996</v>
      </c>
      <c r="W174" s="10" t="n">
        <v>2500</v>
      </c>
      <c r="X174" s="11" t="n">
        <v>1183.85599999999</v>
      </c>
      <c r="Y174" s="8" t="inlineStr">
        <is>
          <t>Pacific</t>
        </is>
      </c>
      <c r="Z174" s="8" t="inlineStr">
        <is>
          <t>Victoria (VIC)</t>
        </is>
      </c>
      <c r="AA174" s="11" t="n">
        <v>4889.78712051623</v>
      </c>
      <c r="AB174" s="8" t="inlineStr">
        <is>
          <t>CAR Group Ltd. engages in the operation of online automotive, motorcycle and marine classifieds business. It provides car buying and selling services in Australia. It also provides online advertising solutions to media agencies and its clients, dealers, industry organizations and many other businesses. The firm operates through following segments: Online Advertising; Data, Research and Services; Investments; North America; Latin America; and Asia. The Online Advertising Services segment comprises of classified, display advertising services and finance commission. The Data and Research and Services segment offers software, analysis, research and reporting, valuation services, website development and hosting as well as photography services. The Investments segment includes online retail and wholesale tyre sales and inspection services. The North America segment includes online vehicle classifieds, display advertising services and automotive data services in United States of America and Canada. The Latin America segment includes online automotive classifieds and media advertising services in Brazil and Chile. The Asia segment provides online automotive classifieds, media advertising services and automotive data services in South Korea, Malaysia, China, Thailand and Indonesia. The company was founded by Gregory Paul Roebuck and Walter J. Pisciotta on June 18, 1996 and is headquartered in Richmond, Australia.</t>
        </is>
      </c>
      <c r="AC174" s="8" t="inlineStr">
        <is>
          <t>Consumer Data and Services</t>
        </is>
      </c>
      <c r="AD174" s="8" t="inlineStr">
        <is>
          <t>Internet and Data Services</t>
        </is>
      </c>
      <c r="AE174" s="8" t="inlineStr">
        <is>
          <t>Software and Consulting</t>
        </is>
      </c>
      <c r="AF174" s="12" t="inlineStr">
        <is>
          <t>Information and News Content Providers and Sites</t>
        </is>
      </c>
      <c r="AH174" t="n">
        <v>22129</v>
      </c>
      <c r="AI174" t="n">
        <v>1</v>
      </c>
      <c r="AJ174" t="inlineStr">
        <is>
          <t>Scope 1 Scope 2 Scope 3
22, 129
1,927 40915,741</t>
        </is>
      </c>
      <c r="AK174" t="n">
        <v>25000</v>
      </c>
      <c r="AL174" t="n">
        <v>1</v>
      </c>
      <c r="AM174" t="inlineStr">
        <is>
          <t>FY25 FY24 FY23
Scope 1 Scope 2 Scope 3
22, 129</t>
        </is>
      </c>
      <c r="AN174" t="n">
        <v>15741</v>
      </c>
      <c r="AO174" t="n">
        <v>1</v>
      </c>
      <c r="AP174" t="inlineStr">
        <is>
          <t>Scope 3 emissions have increased 37.5% compared to FY24, although they remain 2.2% below FY23 levels.</t>
        </is>
      </c>
      <c r="AQ174" t="n">
        <v>0</v>
      </c>
      <c r="AR174" t="n">
        <v>0.232705</v>
      </c>
      <c r="AS174" t="n">
        <v>0</v>
      </c>
    </row>
    <row r="175" ht="15" customHeight="1">
      <c r="A175" s="8" t="inlineStr">
        <is>
          <t>AUB-AU</t>
        </is>
      </c>
      <c r="B175" s="8" t="inlineStr">
        <is>
          <t>AUB Group Ltd.</t>
        </is>
      </c>
      <c r="C175" s="8" t="n"/>
      <c r="D175" s="8" t="n"/>
      <c r="E175" s="8" t="n"/>
      <c r="F175" s="8" t="n"/>
      <c r="G175" s="8" t="n"/>
      <c r="H175" s="8" t="n"/>
      <c r="I175" s="8" t="n"/>
      <c r="J175" s="8" t="n"/>
      <c r="K175" s="8" t="n"/>
      <c r="L175" s="8" t="n"/>
      <c r="M175" s="8" t="n"/>
      <c r="N175" s="17" t="n"/>
      <c r="O175" s="17" t="n"/>
      <c r="P175" s="17" t="n"/>
      <c r="Q175" s="17" t="n"/>
      <c r="R175" s="10">
        <f>IFERROR(_xlfn.XLOOKUP($A175,Profitability!$A$5:$A$342,Profitability!$Q$5:$Q$342),"na")</f>
        <v/>
      </c>
      <c r="S175" s="10">
        <f>IFERROR(_xlfn.XLOOKUP($A175,Profitability!$A$5:$A$342,Profitability!$R$5:$R$342),"na")</f>
        <v/>
      </c>
      <c r="T175" s="8" t="inlineStr">
        <is>
          <t>Public</t>
        </is>
      </c>
      <c r="U175" s="8" t="inlineStr">
        <is>
          <t>Australia</t>
        </is>
      </c>
      <c r="V175" s="9" t="n">
        <v>1985</v>
      </c>
      <c r="W175" s="10" t="n">
        <v>2859</v>
      </c>
      <c r="X175" s="11" t="n">
        <v>1128.171</v>
      </c>
      <c r="Y175" s="8" t="inlineStr">
        <is>
          <t>Pacific</t>
        </is>
      </c>
      <c r="Z175" s="8" t="inlineStr">
        <is>
          <t>New South Wales (NSW)</t>
        </is>
      </c>
      <c r="AA175" s="11" t="n">
        <v>4733.35711666077</v>
      </c>
      <c r="AB175" s="8" t="inlineStr">
        <is>
          <t>AUB Group Ltd. engages in the provision of equity-based insurance broker network. It operates through the following segments: Australian Broking, Agencies, New Zealand Broking, International, and Support Services. The Australian Broking segment provides insurance broking and advisory services primarily to SME clients. The New Zealand Broking segment focuses on the provision of broking and advisory services primarily to SME clients in New Zealand. The International segment includes wholesale and retail broking and Managing General Agents. The Support Services segment deals with the provision of a range of services to support the Australian broking, agencies, New Zealand, broking and Tysers segments, and external clients. The company was founded on November 7, 1985 and is headquartered in North Sydney, Australia.</t>
        </is>
      </c>
      <c r="AC175" s="8" t="inlineStr">
        <is>
          <t>Insurance Brokerage</t>
        </is>
      </c>
      <c r="AD175" s="8" t="inlineStr">
        <is>
          <t>Insurance</t>
        </is>
      </c>
      <c r="AE175" s="8" t="inlineStr">
        <is>
          <t>Insurance</t>
        </is>
      </c>
      <c r="AF175" s="12" t="inlineStr">
        <is>
          <t>Insurance Brokerage</t>
        </is>
      </c>
      <c r="AR175" t="n">
        <v>0.159599</v>
      </c>
    </row>
    <row r="176" ht="15" customHeight="1">
      <c r="A176" s="8" t="inlineStr">
        <is>
          <t>OBM-AU</t>
        </is>
      </c>
      <c r="B176" s="8" t="inlineStr">
        <is>
          <t>Ora Banda Mining Ltd.</t>
        </is>
      </c>
      <c r="C176" s="8" t="n"/>
      <c r="D176" s="8" t="n"/>
      <c r="E176" s="8" t="n"/>
      <c r="F176" s="8" t="n"/>
      <c r="G176" s="8" t="n"/>
      <c r="H176" s="8" t="n"/>
      <c r="I176" s="8" t="n"/>
      <c r="J176" s="8" t="n"/>
      <c r="K176" s="8" t="n"/>
      <c r="L176" s="8" t="n"/>
      <c r="M176" s="8" t="n"/>
      <c r="N176" s="17" t="n"/>
      <c r="O176" s="17" t="n"/>
      <c r="P176" s="17" t="n"/>
      <c r="Q176" s="17" t="n"/>
      <c r="R176" s="10">
        <f>IFERROR(_xlfn.XLOOKUP($A176,Profitability!$A$5:$A$342,Profitability!$Q$5:$Q$342),"na")</f>
        <v/>
      </c>
      <c r="S176" s="10">
        <f>IFERROR(_xlfn.XLOOKUP($A176,Profitability!$A$5:$A$342,Profitability!$R$5:$R$342),"na")</f>
        <v/>
      </c>
      <c r="T176" s="8" t="inlineStr">
        <is>
          <t>Public</t>
        </is>
      </c>
      <c r="U176" s="8" t="inlineStr">
        <is>
          <t>Australia</t>
        </is>
      </c>
      <c r="V176" s="9" t="n">
        <v>2002</v>
      </c>
      <c r="W176" s="10" t="inlineStr">
        <is>
          <t>-</t>
        </is>
      </c>
      <c r="X176" s="11" t="n">
        <v>404.291999999999</v>
      </c>
      <c r="Y176" s="8" t="inlineStr">
        <is>
          <t>Pacific</t>
        </is>
      </c>
      <c r="Z176" s="8" t="inlineStr">
        <is>
          <t>Western Australia (WA)</t>
        </is>
      </c>
      <c r="AA176" s="11" t="n">
        <v>444.422010953456</v>
      </c>
      <c r="AB176" s="8" t="inlineStr">
        <is>
          <t>Ora Banda Mining Ltd. engages in the development and exploration of gold. It holds interest in the following projects: Central Davyhurst, Mount Ida, Lady Ida, Riverina-Mulline, Callion, Walhalla, and Siberia. The company was founded on March 26, 2002 and is headquartered in West Perth, Australia.</t>
        </is>
      </c>
      <c r="AC176" s="8" t="inlineStr">
        <is>
          <t>Precious Metal Mining</t>
        </is>
      </c>
      <c r="AD176" s="8" t="inlineStr">
        <is>
          <t>Metal Ore Mining</t>
        </is>
      </c>
      <c r="AE176" s="8" t="inlineStr">
        <is>
          <t>Mining and Mineral Products</t>
        </is>
      </c>
      <c r="AF176" s="12" t="inlineStr">
        <is>
          <t>Asia/Pacific Gold Mining</t>
        </is>
      </c>
      <c r="AH176" t="n">
        <v>48730</v>
      </c>
      <c r="AJ176" t="inlineStr">
        <is>
          <t>Citation(s): [20]</t>
        </is>
      </c>
      <c r="AK176" t="n">
        <v>919</v>
      </c>
      <c r="AM176" t="inlineStr">
        <is>
          <t>Citation(s): [20]</t>
        </is>
      </c>
      <c r="AR176" t="n">
        <v>0.460261</v>
      </c>
    </row>
    <row r="177" ht="15" customHeight="1">
      <c r="A177" s="8" t="inlineStr">
        <is>
          <t>SIG-AU</t>
        </is>
      </c>
      <c r="B177" s="8" t="inlineStr">
        <is>
          <t>Sigma Healthcare Ltd.</t>
        </is>
      </c>
      <c r="C177" s="8" t="n"/>
      <c r="D177" s="8" t="n"/>
      <c r="E177" s="8" t="n"/>
      <c r="F177" s="8" t="n"/>
      <c r="G177" s="8" t="n"/>
      <c r="H177" s="8" t="n"/>
      <c r="I177" s="8" t="n"/>
      <c r="J177" s="8" t="n"/>
      <c r="K177" s="8" t="n"/>
      <c r="L177" s="8" t="n"/>
      <c r="M177" s="8" t="n"/>
      <c r="N177" s="17" t="n"/>
      <c r="O177" s="17" t="n"/>
      <c r="P177" s="17" t="n"/>
      <c r="Q177" s="17" t="n"/>
      <c r="R177" s="10">
        <f>IFERROR(_xlfn.XLOOKUP($A177,Profitability!$A$5:$A$342,Profitability!$Q$5:$Q$342),"na")</f>
        <v/>
      </c>
      <c r="S177" s="10">
        <f>IFERROR(_xlfn.XLOOKUP($A177,Profitability!$A$5:$A$342,Profitability!$R$5:$R$342),"na")</f>
        <v/>
      </c>
      <c r="T177" s="8" t="inlineStr">
        <is>
          <t>Public</t>
        </is>
      </c>
      <c r="U177" s="8" t="inlineStr">
        <is>
          <t>Australia</t>
        </is>
      </c>
      <c r="V177" s="9" t="n">
        <v>1999</v>
      </c>
      <c r="W177" s="10" t="inlineStr">
        <is>
          <t>-</t>
        </is>
      </c>
      <c r="X177" s="11" t="n">
        <v>14404.404</v>
      </c>
      <c r="Y177" s="8" t="inlineStr">
        <is>
          <t>Pacific</t>
        </is>
      </c>
      <c r="Z177" s="8" t="inlineStr">
        <is>
          <t>Victoria (VIC)</t>
        </is>
      </c>
      <c r="AA177" s="11" t="n">
        <v>8712.551214734051</v>
      </c>
      <c r="AB177" s="8" t="inlineStr">
        <is>
          <t>Sigma Healthcare Ltd. engages in the manufacture and distribution of pharmaceutical products through pharmacy, grocery channels, and private labels. The firm's activities include wholesale distribution of pharmaceutical goods and medical consumables to community pharmacies, including the provision of retail support services to the branded network of pharmacy members, dose administration aid services, technology and data analytics solutions to the customers. The company was founded on 2nd July, 1999 and is headquartered in Clayton, Australia.</t>
        </is>
      </c>
      <c r="AC177" s="8" t="inlineStr">
        <is>
          <t>Healthcare Distributors</t>
        </is>
      </c>
      <c r="AD177" s="8" t="inlineStr">
        <is>
          <t>Healthcare Support Services</t>
        </is>
      </c>
      <c r="AE177" s="8" t="inlineStr">
        <is>
          <t>Healthcare Services</t>
        </is>
      </c>
      <c r="AF177" s="12" t="inlineStr">
        <is>
          <t>Wholesale Pharmaceuticals Distributors</t>
        </is>
      </c>
      <c r="AH177" t="n">
        <v>8613</v>
      </c>
      <c r="AJ177" t="inlineStr">
        <is>
          <t>Combined Scope 1 and 2 total Citation(s): [45]</t>
        </is>
      </c>
      <c r="AR177" t="n">
        <v>0.088292</v>
      </c>
    </row>
    <row r="178" ht="15" customHeight="1">
      <c r="A178" s="8" t="inlineStr">
        <is>
          <t>BVS-AU</t>
        </is>
      </c>
      <c r="B178" s="8" t="inlineStr">
        <is>
          <t>Bravura Solutions Ltd.</t>
        </is>
      </c>
      <c r="C178" s="8" t="n"/>
      <c r="D178" s="8" t="n"/>
      <c r="E178" s="8" t="n"/>
      <c r="F178" s="8" t="n"/>
      <c r="G178" s="8" t="n"/>
      <c r="H178" s="8" t="n"/>
      <c r="I178" s="8" t="n"/>
      <c r="J178" s="8" t="n"/>
      <c r="K178" s="8" t="n"/>
      <c r="L178" s="8" t="n"/>
      <c r="M178" s="8" t="n"/>
      <c r="N178" s="17" t="n"/>
      <c r="O178" s="17" t="n"/>
      <c r="P178" s="17" t="n"/>
      <c r="Q178" s="17" t="n"/>
      <c r="R178" s="10">
        <f>IFERROR(_xlfn.XLOOKUP($A178,Profitability!$A$5:$A$342,Profitability!$Q$5:$Q$342),"na")</f>
        <v/>
      </c>
      <c r="S178" s="10">
        <f>IFERROR(_xlfn.XLOOKUP($A178,Profitability!$A$5:$A$342,Profitability!$R$5:$R$342),"na")</f>
        <v/>
      </c>
      <c r="T178" s="8" t="inlineStr">
        <is>
          <t>Public</t>
        </is>
      </c>
      <c r="U178" s="8" t="inlineStr">
        <is>
          <t>Australia</t>
        </is>
      </c>
      <c r="V178" s="9" t="n">
        <v>2004</v>
      </c>
      <c r="W178" s="10" t="n">
        <v>1002</v>
      </c>
      <c r="X178" s="11" t="n">
        <v>312.973999999999</v>
      </c>
      <c r="Y178" s="8" t="inlineStr">
        <is>
          <t>Pacific</t>
        </is>
      </c>
      <c r="Z178" s="8" t="inlineStr">
        <is>
          <t>New South Wales (NSW)</t>
        </is>
      </c>
      <c r="AA178" s="11" t="n">
        <v>182.012004485963</v>
      </c>
      <c r="AB178" s="8" t="inlineStr">
        <is>
          <t>Bravura Solutions Ltd. engages in the development, licensing, and maintenance of specialized administration and management software applications. It operates through Europe and South Africa (EMEA); and Australia and New Zealand (APAC) geographical segments. The company was founded by Simon Kenneth Woodfull and Iain Maxwell Dunstan on December 9, 2004 and is headquartered in Sydney, Australia.</t>
        </is>
      </c>
      <c r="AC178" s="8" t="inlineStr">
        <is>
          <t>Finance Software and Services</t>
        </is>
      </c>
      <c r="AD178" s="8" t="inlineStr">
        <is>
          <t>Finance Software and Services</t>
        </is>
      </c>
      <c r="AE178" s="8" t="inlineStr">
        <is>
          <t>Specialty Finance and Services</t>
        </is>
      </c>
      <c r="AF178" s="12" t="inlineStr">
        <is>
          <t>Finance Industry Software</t>
        </is>
      </c>
      <c r="AR178" t="n">
        <v>0.23717</v>
      </c>
    </row>
    <row r="179" ht="15" customHeight="1">
      <c r="A179" s="8" t="inlineStr">
        <is>
          <t>NGI-AU</t>
        </is>
      </c>
      <c r="B179" s="8" t="inlineStr">
        <is>
          <t>Navigator Global Investments Ltd.</t>
        </is>
      </c>
      <c r="C179" s="8" t="n"/>
      <c r="D179" s="8" t="n"/>
      <c r="E179" s="8" t="n"/>
      <c r="F179" s="8" t="n"/>
      <c r="G179" s="8" t="n"/>
      <c r="H179" s="8" t="n"/>
      <c r="I179" s="8" t="n"/>
      <c r="J179" s="8" t="n"/>
      <c r="K179" s="8" t="n"/>
      <c r="L179" s="8" t="n"/>
      <c r="M179" s="8" t="n"/>
      <c r="N179" s="17" t="n"/>
      <c r="O179" s="17" t="n"/>
      <c r="P179" s="17" t="n"/>
      <c r="Q179" s="17" t="n"/>
      <c r="R179" s="10">
        <f>IFERROR(_xlfn.XLOOKUP($A179,Profitability!$A$5:$A$342,Profitability!$Q$5:$Q$342),"na")</f>
        <v/>
      </c>
      <c r="S179" s="10">
        <f>IFERROR(_xlfn.XLOOKUP($A179,Profitability!$A$5:$A$342,Profitability!$R$5:$R$342),"na")</f>
        <v/>
      </c>
      <c r="T179" s="8" t="inlineStr">
        <is>
          <t>Public</t>
        </is>
      </c>
      <c r="U179" s="8" t="inlineStr">
        <is>
          <t>Australia</t>
        </is>
      </c>
      <c r="V179" s="9" t="n">
        <v>2002</v>
      </c>
      <c r="W179" s="10" t="n">
        <v>290</v>
      </c>
      <c r="X179" s="11" t="n">
        <v>688.4568640084869</v>
      </c>
      <c r="Y179" s="8" t="inlineStr">
        <is>
          <t>Pacific</t>
        </is>
      </c>
      <c r="Z179" s="8" t="inlineStr">
        <is>
          <t>Queensland (QLD)</t>
        </is>
      </c>
      <c r="AA179" s="11" t="n">
        <v>1432.6589198846</v>
      </c>
      <c r="AB179" s="8" t="inlineStr">
        <is>
          <t>Navigator Global Investments Ltd. operates as a fund management company. The firm offers open-ended products and structured products to retail, wholesale, and institutional investors. The company was founded in 1998 and is headquartered in Toowong, Australia.</t>
        </is>
      </c>
      <c r="AC179" s="8" t="inlineStr">
        <is>
          <t>Asset Management and Financial Advisory Services</t>
        </is>
      </c>
      <c r="AD179" s="8" t="inlineStr">
        <is>
          <t>Investment Services</t>
        </is>
      </c>
      <c r="AE179" s="8" t="inlineStr">
        <is>
          <t>Investment Services</t>
        </is>
      </c>
      <c r="AF179" s="12" t="inlineStr">
        <is>
          <t>Alternative Investment Managers</t>
        </is>
      </c>
      <c r="AR179" t="n">
        <v>0.267708</v>
      </c>
    </row>
    <row r="180" ht="15" customHeight="1">
      <c r="A180" s="8" t="inlineStr">
        <is>
          <t>EMR-AU</t>
        </is>
      </c>
      <c r="B180" s="8" t="inlineStr">
        <is>
          <t>Emerald Resources NL</t>
        </is>
      </c>
      <c r="C180" s="8" t="n"/>
      <c r="D180" s="8" t="n"/>
      <c r="E180" s="8" t="n"/>
      <c r="F180" s="8" t="n"/>
      <c r="G180" s="8" t="n"/>
      <c r="H180" s="8" t="n"/>
      <c r="I180" s="8" t="n"/>
      <c r="J180" s="8" t="n"/>
      <c r="K180" s="8" t="n"/>
      <c r="L180" s="8" t="n"/>
      <c r="M180" s="8" t="n"/>
      <c r="N180" s="17" t="n"/>
      <c r="O180" s="17" t="n"/>
      <c r="P180" s="17" t="n"/>
      <c r="Q180" s="17" t="n"/>
      <c r="R180" s="10">
        <f>IFERROR(_xlfn.XLOOKUP($A180,Profitability!$A$5:$A$342,Profitability!$Q$5:$Q$342),"na")</f>
        <v/>
      </c>
      <c r="S180" s="10">
        <f>IFERROR(_xlfn.XLOOKUP($A180,Profitability!$A$5:$A$342,Profitability!$R$5:$R$342),"na")</f>
        <v/>
      </c>
      <c r="T180" s="8" t="inlineStr">
        <is>
          <t>Public</t>
        </is>
      </c>
      <c r="U180" s="8" t="inlineStr">
        <is>
          <t>Australia</t>
        </is>
      </c>
      <c r="V180" s="9" t="n">
        <v>1969</v>
      </c>
      <c r="W180" s="10" t="n">
        <v>328</v>
      </c>
      <c r="X180" s="11" t="n">
        <v>430.414</v>
      </c>
      <c r="Y180" s="8" t="inlineStr">
        <is>
          <t>Pacific</t>
        </is>
      </c>
      <c r="Z180" s="8" t="inlineStr">
        <is>
          <t>Western Australia (WA)</t>
        </is>
      </c>
      <c r="AA180" s="11" t="n">
        <v>780.718019241981</v>
      </c>
      <c r="AB180" s="8" t="inlineStr">
        <is>
          <t>Emerald Resources NL engages in mineral exploration. It operates through the following segments: Mine Operations, Exploration, and Other. The company was founded on September 15, 1969 and is headquartered in West Perth, Australia.</t>
        </is>
      </c>
      <c r="AC180" s="8" t="inlineStr">
        <is>
          <t>Precious Metal Mining</t>
        </is>
      </c>
      <c r="AD180" s="8" t="inlineStr">
        <is>
          <t>Metal Ore Mining</t>
        </is>
      </c>
      <c r="AE180" s="8" t="inlineStr">
        <is>
          <t>Mining and Mineral Products</t>
        </is>
      </c>
      <c r="AF180" s="12" t="inlineStr">
        <is>
          <t>Asia/Pacific Gold Mining</t>
        </is>
      </c>
      <c r="AH180" t="n">
        <v>45108</v>
      </c>
      <c r="AJ180" t="inlineStr">
        <is>
          <t>Calculated total across locations: Cambodia (2,716) + Okvau Gold Mine (40,733) + Exploration (1,659). Citation(s): [13]</t>
        </is>
      </c>
      <c r="AK180" t="n">
        <v>33260</v>
      </c>
      <c r="AM180" t="inlineStr">
        <is>
          <t>Calculated total across locations: Corporate Office Cambodia (14) + Okvau Gold Mine (33,235) + Corporate Office Australia (11). Citation(s): [13]</t>
        </is>
      </c>
      <c r="AR180" t="n">
        <v>0.203546</v>
      </c>
    </row>
    <row r="181" ht="15" customHeight="1">
      <c r="A181" s="8" t="inlineStr">
        <is>
          <t>UOS-AU</t>
        </is>
      </c>
      <c r="B181" s="8" t="inlineStr">
        <is>
          <t>United Overseas Australia Ltd.</t>
        </is>
      </c>
      <c r="C181" s="8" t="n"/>
      <c r="D181" s="8" t="n"/>
      <c r="E181" s="8" t="n"/>
      <c r="F181" s="8" t="n"/>
      <c r="G181" s="8" t="n"/>
      <c r="H181" s="8" t="n"/>
      <c r="I181" s="8" t="n"/>
      <c r="J181" s="8" t="n"/>
      <c r="K181" s="8" t="n"/>
      <c r="L181" s="8" t="n"/>
      <c r="M181" s="8" t="n"/>
      <c r="N181" s="17" t="n"/>
      <c r="O181" s="17" t="n"/>
      <c r="P181" s="17" t="n"/>
      <c r="Q181" s="17" t="n"/>
      <c r="R181" s="10">
        <f>IFERROR(_xlfn.XLOOKUP($A181,Profitability!$A$5:$A$342,Profitability!$Q$5:$Q$342),"na")</f>
        <v/>
      </c>
      <c r="S181" s="10">
        <f>IFERROR(_xlfn.XLOOKUP($A181,Profitability!$A$5:$A$342,Profitability!$R$5:$R$342),"na")</f>
        <v/>
      </c>
      <c r="T181" s="8" t="inlineStr">
        <is>
          <t>Public</t>
        </is>
      </c>
      <c r="U181" s="8" t="inlineStr">
        <is>
          <t>Australia</t>
        </is>
      </c>
      <c r="V181" s="9" t="n">
        <v>1987</v>
      </c>
      <c r="W181" s="10" t="n">
        <v>1449</v>
      </c>
      <c r="X181" s="11" t="n">
        <v>364.287</v>
      </c>
      <c r="Y181" s="8" t="inlineStr">
        <is>
          <t>Pacific</t>
        </is>
      </c>
      <c r="Z181" s="8" t="inlineStr">
        <is>
          <t>Western Australia (WA)</t>
        </is>
      </c>
      <c r="AA181" s="11" t="n">
        <v>3419.53189393208</v>
      </c>
      <c r="AB181" s="8" t="inlineStr">
        <is>
          <t>United Overseas Australia Ltd. is an investment holding company, which engages in property development, investment, management, and construction. It operates through the following segments: Investments, Land Development &amp; Sale, and Others. The Investment segment includes the holding of investment properties to generate rental income, capital appreciation or both. The Land Development &amp; Sale segment involves in development, construction and sale of residential and commercial properties. The Others segment engages in operations of hotel and food and beverage outlets, provision of facilities, support services and carpark operations, revenue from moneylending services and provision of management services. The company was founded by Chong Soon Kong and Pak Lim Kong in 1987 and is headquartered in Leederville, Australia.</t>
        </is>
      </c>
      <c r="AC181" s="8" t="inlineStr">
        <is>
          <t>Other Real Estate Investment and Services</t>
        </is>
      </c>
      <c r="AD181" s="8" t="inlineStr">
        <is>
          <t>Real Estate Investment and Services</t>
        </is>
      </c>
      <c r="AE181" s="8" t="inlineStr">
        <is>
          <t>Real Estate</t>
        </is>
      </c>
      <c r="AF181" s="12" t="inlineStr">
        <is>
          <t>Real Estate Developers</t>
        </is>
      </c>
      <c r="AR181" t="n">
        <v>0.251362</v>
      </c>
    </row>
    <row r="182" ht="15" customHeight="1">
      <c r="A182" s="8" t="inlineStr">
        <is>
          <t>IEL-AU</t>
        </is>
      </c>
      <c r="B182" s="8" t="inlineStr">
        <is>
          <t>IDP Education Ltd.</t>
        </is>
      </c>
      <c r="C182" s="8" t="n"/>
      <c r="D182" s="8" t="n"/>
      <c r="E182" s="8" t="n"/>
      <c r="F182" s="8" t="n"/>
      <c r="G182" s="8" t="n"/>
      <c r="H182" s="8" t="n"/>
      <c r="I182" s="8" t="n"/>
      <c r="J182" s="8" t="n"/>
      <c r="K182" s="8" t="n"/>
      <c r="L182" s="8" t="n"/>
      <c r="M182" s="8" t="n"/>
      <c r="N182" s="17" t="n"/>
      <c r="O182" s="17" t="n"/>
      <c r="P182" s="17" t="n"/>
      <c r="Q182" s="17" t="n"/>
      <c r="R182" s="10">
        <f>IFERROR(_xlfn.XLOOKUP($A182,Profitability!$A$5:$A$342,Profitability!$Q$5:$Q$342),"na")</f>
        <v/>
      </c>
      <c r="S182" s="10">
        <f>IFERROR(_xlfn.XLOOKUP($A182,Profitability!$A$5:$A$342,Profitability!$R$5:$R$342),"na")</f>
        <v/>
      </c>
      <c r="T182" s="8" t="inlineStr">
        <is>
          <t>Public</t>
        </is>
      </c>
      <c r="U182" s="8" t="inlineStr">
        <is>
          <t>Australia</t>
        </is>
      </c>
      <c r="V182" s="9" t="n">
        <v>2005</v>
      </c>
      <c r="W182" s="10" t="n">
        <v>9173</v>
      </c>
      <c r="X182" s="11" t="n">
        <v>878.471</v>
      </c>
      <c r="Y182" s="8" t="inlineStr">
        <is>
          <t>Pacific</t>
        </is>
      </c>
      <c r="Z182" s="8" t="inlineStr">
        <is>
          <t>Victoria (VIC)</t>
        </is>
      </c>
      <c r="AA182" s="11" t="n">
        <v>1279.44803153394</v>
      </c>
      <c r="AB182" s="8" t="inlineStr">
        <is>
          <t>IDP Education Ltd. engages in the education business, which provides placement of international students into education institutions in Australia, the United Kingdom, the United States, Canada, New Zealand, and Ireland. The firm operates through the following geographical segments: Asia, Australasia, and Rest of World. The Asia segment consists of operations in Bangladesh, Cambodia, China, Hong Kong, India, Indonesia, Japan, Laos, Malaysia, Mauritius, Myanmar, Nepal, Philippines, Singapore, South Korea, Sri Lanka, Taiwan, Thailand, and Vietnam. The Australasia segment focuses on Australia, Fiji, New Zealand, and New Caledonia. The Rest of World segment includes Argentina, Azerbaijan, Bahrain, Brazil, Canada, Chile, Colombia, Cyprus, Ecuador, Egypt, Germany, Ghana, Greece, Iran, Ireland, Italy, Jordan, Kazakhstan, Kenya, Kuwait, Lebanon, Mexico, Morocco, Nigeria, Oman, Pakistan, Peru, Poland, Qatar, Romania, Russia, Saudi Arabia, Spain, Switzerland, Türkiye, Ukraine, Uruguay, Uzbekistan, the United Arab Emirates, the United Kingdom, and the United States of America. The company was founded in 1969 and is headquartered in Melbourne, Australia.</t>
        </is>
      </c>
      <c r="AC182" s="8" t="inlineStr">
        <is>
          <t>Educational Services</t>
        </is>
      </c>
      <c r="AD182" s="8" t="inlineStr">
        <is>
          <t>Personal Professional Services</t>
        </is>
      </c>
      <c r="AE182" s="8" t="inlineStr">
        <is>
          <t>Household Services</t>
        </is>
      </c>
      <c r="AF182" s="12" t="inlineStr">
        <is>
          <t>Other Educational Services</t>
        </is>
      </c>
      <c r="AH182" t="n">
        <v>4</v>
      </c>
      <c r="AI182" t="n">
        <v>1</v>
      </c>
      <c r="AJ182" t="inlineStr">
        <is>
          <t>Scope 1,43,17,27.5,26,4</t>
        </is>
      </c>
      <c r="AK182" t="n">
        <v>5589</v>
      </c>
      <c r="AL182" t="n">
        <v>1</v>
      </c>
      <c r="AM182" t="inlineStr">
        <is>
          <t>Scope 2,"4,375","4,414","4,585","6,724","5,589"</t>
        </is>
      </c>
      <c r="AN182" t="n">
        <v>49153</v>
      </c>
      <c r="AO182" t="n">
        <v>1</v>
      </c>
      <c r="AP182" t="inlineStr">
        <is>
          <t>Scope 3,-,"26,008","40,324","51,419","49,153"</t>
        </is>
      </c>
      <c r="AQ182" t="n">
        <v>1</v>
      </c>
      <c r="AR182" t="n">
        <v>0.050665</v>
      </c>
      <c r="AS182" t="n">
        <v>0.001138</v>
      </c>
    </row>
    <row r="183" ht="15" customHeight="1">
      <c r="A183" s="8" t="inlineStr">
        <is>
          <t>BXB-AU</t>
        </is>
      </c>
      <c r="B183" s="8" t="inlineStr">
        <is>
          <t>Brambles Ltd.</t>
        </is>
      </c>
      <c r="C183" s="8" t="n"/>
      <c r="D183" s="8" t="n"/>
      <c r="E183" s="8" t="n"/>
      <c r="F183" s="8" t="n"/>
      <c r="G183" s="8" t="n"/>
      <c r="H183" s="8" t="n"/>
      <c r="I183" s="8" t="n"/>
      <c r="J183" s="8" t="n"/>
      <c r="K183" s="8" t="n"/>
      <c r="L183" s="8" t="n"/>
      <c r="M183" s="8" t="n"/>
      <c r="N183" s="17" t="n"/>
      <c r="O183" s="17" t="n"/>
      <c r="P183" s="17" t="n"/>
      <c r="Q183" s="17" t="n"/>
      <c r="R183" s="10">
        <f>IFERROR(_xlfn.XLOOKUP($A183,Profitability!$A$5:$A$342,Profitability!$Q$5:$Q$342),"na")</f>
        <v/>
      </c>
      <c r="S183" s="10">
        <f>IFERROR(_xlfn.XLOOKUP($A183,Profitability!$A$5:$A$342,Profitability!$R$5:$R$342),"na")</f>
        <v/>
      </c>
      <c r="T183" s="8" t="inlineStr">
        <is>
          <t>Public</t>
        </is>
      </c>
      <c r="U183" s="8" t="inlineStr">
        <is>
          <t>Australia</t>
        </is>
      </c>
      <c r="V183" s="9" t="n">
        <v>2006</v>
      </c>
      <c r="W183" s="10" t="n">
        <v>12093</v>
      </c>
      <c r="X183" s="11" t="n">
        <v>10298.6115690752</v>
      </c>
      <c r="Y183" s="8" t="inlineStr">
        <is>
          <t>Pacific</t>
        </is>
      </c>
      <c r="Z183" s="8" t="inlineStr">
        <is>
          <t>New South Wales (NSW)</t>
        </is>
      </c>
      <c r="AA183" s="11" t="n">
        <v>15326.7723316693</v>
      </c>
      <c r="AB183" s="8" t="inlineStr">
        <is>
          <t>Brambles Ltd. engages in the development of supply chain logistics solutions, focusing on the provision of reusable pallets and containers. It operates through the following segments: CHEP Americas, CHEP EMEA, CHEP Asia-Pacific, and Corporate. The CHEP Americas segment is composed of North America and Latin America. The CHEP EMEA segment includes the Europe, Middle East, Africa, and India. The CHEP Asia-Pacific segment consists of Australia, New Zealand and Asia, excluding India. The Corporate segment refers to BXB Digital. The company was founded by Walter Edwin Bramble in 1875 and is headquartered in Sydney, Australia.</t>
        </is>
      </c>
      <c r="AC183" s="8" t="inlineStr">
        <is>
          <t>Logistics and Supply Chain Service Providers</t>
        </is>
      </c>
      <c r="AD183" s="8" t="inlineStr">
        <is>
          <t>Delivery and Logistics Services</t>
        </is>
      </c>
      <c r="AE183" s="8" t="inlineStr">
        <is>
          <t>Industrial Services</t>
        </is>
      </c>
      <c r="AF183" s="12" t="inlineStr">
        <is>
          <t>Logistics and Supply Chain Service Providers</t>
        </is>
      </c>
      <c r="AH183" t="n">
        <v>29500</v>
      </c>
      <c r="AI183" t="n">
        <v>0.9</v>
      </c>
      <c r="AJ183" t="inlineStr">
        <is>
          <t>"ecosystems, going",,,,
,,,,0.1% increase since FY24
beyond zero waste and,SBTi validated 2030 climate targets for,Performance against SBT,,</t>
        </is>
      </c>
      <c r="AK183" t="n">
        <v>0</v>
      </c>
      <c r="AL183" t="n">
        <v>0.9</v>
      </c>
      <c r="AM183" t="inlineStr">
        <is>
          <t>,,,,,,42%	reduction,
,Total Scope 1 and 2,29.5,32.023,-7.8%,-32.3%,,
,,,,,,,Renewable</t>
        </is>
      </c>
      <c r="AN183" t="n">
        <v>1261000</v>
      </c>
      <c r="AO183" t="n">
        <v>0.9</v>
      </c>
      <c r="AP183" t="inlineStr">
        <is>
          <t>,,,,,,,,in February 2025. It supports material supplier,
,Scope 1 &amp; 2 emissions (ktCO2-e),,,,,Scope 3 emissions (ktCO2-e)22,,"categories (carriers, subcontracted service centres",
,,,–32.3%,,2000,,–16.8%,and timber suppliers) on their decarbonisation journey.,</t>
        </is>
      </c>
      <c r="AQ183" t="n">
        <v>0</v>
      </c>
      <c r="AR183" t="n">
        <v>0.129571</v>
      </c>
      <c r="AS183" t="n">
        <v>0</v>
      </c>
    </row>
    <row r="184" ht="15" customHeight="1">
      <c r="A184" s="8" t="inlineStr">
        <is>
          <t>AMA-AU</t>
        </is>
      </c>
      <c r="B184" s="8" t="inlineStr">
        <is>
          <t>AMA Group Ltd.</t>
        </is>
      </c>
      <c r="C184" s="8" t="n"/>
      <c r="D184" s="8" t="n"/>
      <c r="E184" s="8" t="n"/>
      <c r="F184" s="8" t="n"/>
      <c r="G184" s="8" t="n"/>
      <c r="H184" s="8" t="n"/>
      <c r="I184" s="8" t="n"/>
      <c r="J184" s="8" t="n"/>
      <c r="K184" s="8" t="n"/>
      <c r="L184" s="8" t="n"/>
      <c r="M184" s="8" t="n"/>
      <c r="N184" s="17" t="n"/>
      <c r="O184" s="17" t="n"/>
      <c r="P184" s="17" t="n"/>
      <c r="Q184" s="17" t="n"/>
      <c r="R184" s="10">
        <f>IFERROR(_xlfn.XLOOKUP($A184,Profitability!$A$5:$A$342,Profitability!$Q$5:$Q$342),"na")</f>
        <v/>
      </c>
      <c r="S184" s="10">
        <f>IFERROR(_xlfn.XLOOKUP($A184,Profitability!$A$5:$A$342,Profitability!$R$5:$R$342),"na")</f>
        <v/>
      </c>
      <c r="T184" s="8" t="inlineStr">
        <is>
          <t>Public</t>
        </is>
      </c>
      <c r="U184" s="8" t="inlineStr">
        <is>
          <t>Australia</t>
        </is>
      </c>
      <c r="V184" s="9" t="n">
        <v>2005</v>
      </c>
      <c r="W184" s="10" t="n">
        <v>3621</v>
      </c>
      <c r="X184" s="11" t="n">
        <v>1009.926</v>
      </c>
      <c r="Y184" s="8" t="inlineStr">
        <is>
          <t>Pacific</t>
        </is>
      </c>
      <c r="Z184" s="8" t="inlineStr">
        <is>
          <t>Victoria (VIC)</t>
        </is>
      </c>
      <c r="AA184" s="11" t="n">
        <v>993.272024480697</v>
      </c>
      <c r="AB184" s="8" t="inlineStr">
        <is>
          <t>AMA Group Ltd. engages in the business of operating vehicle and heavy motor collision repair facilities and supplying automotive parts and consumables. It operates through the following segments: Vehicle Collision Repairs, Wales, and Corporate. The Vehicle Collision Repairs segment includes Capital S.M.A.R.T. and AMA Collision. The Heavy Motors segment provides dedicated and highly specialized facilities for all commercial vehicle repairs from light commercial to prime movers, b-doubles, buses, and earthmoving equipment. The Wales segment provides dedicated and highly specialized facilities for all commercial vehicle repairs, from light commercial to prime movers, B-doubles, buses, and earthmoving equipment. The company was founded on April 19, 2005 and is headquartered in Melbourne, Australia.</t>
        </is>
      </c>
      <c r="AC184" s="8" t="inlineStr">
        <is>
          <t>Automotive Services</t>
        </is>
      </c>
      <c r="AD184" s="8" t="inlineStr">
        <is>
          <t>Auto Retail</t>
        </is>
      </c>
      <c r="AE184" s="8" t="inlineStr">
        <is>
          <t>Miscellaneous Retail</t>
        </is>
      </c>
      <c r="AF184" s="12" t="inlineStr">
        <is>
          <t>Automotive Maintenance and Repair Services</t>
        </is>
      </c>
      <c r="AR184" t="n">
        <v>-0.007396</v>
      </c>
    </row>
    <row r="185" ht="15" customHeight="1">
      <c r="A185" s="8" t="inlineStr">
        <is>
          <t>AGL-AU</t>
        </is>
      </c>
      <c r="B185" s="8" t="inlineStr">
        <is>
          <t>AGL Energy Ltd.</t>
        </is>
      </c>
      <c r="C185" s="8" t="n"/>
      <c r="D185" s="8" t="n"/>
      <c r="E185" s="8" t="n"/>
      <c r="F185" s="8" t="n"/>
      <c r="G185" s="8" t="n"/>
      <c r="H185" s="8" t="n"/>
      <c r="I185" s="8" t="n"/>
      <c r="J185" s="8" t="n"/>
      <c r="K185" s="8" t="n"/>
      <c r="L185" s="8" t="n"/>
      <c r="M185" s="8" t="n"/>
      <c r="N185" s="17" t="n"/>
      <c r="O185" s="17" t="n"/>
      <c r="P185" s="10" t="n">
        <v>32911665</v>
      </c>
      <c r="Q185" s="10" t="n">
        <v>264424</v>
      </c>
      <c r="R185" s="10">
        <f>IFERROR(_xlfn.XLOOKUP($A185,Profitability!$A$5:$A$342,Profitability!$Q$5:$Q$342),"na")</f>
        <v/>
      </c>
      <c r="S185" s="10">
        <f>IFERROR(_xlfn.XLOOKUP($A185,Profitability!$A$5:$A$342,Profitability!$R$5:$R$342),"na")</f>
        <v/>
      </c>
      <c r="T185" s="8" t="inlineStr">
        <is>
          <t>Public</t>
        </is>
      </c>
      <c r="U185" s="8" t="inlineStr">
        <is>
          <t>Australia</t>
        </is>
      </c>
      <c r="V185" s="9" t="n">
        <v>2005</v>
      </c>
      <c r="W185" s="10" t="n">
        <v>3011</v>
      </c>
      <c r="X185" s="11" t="n">
        <v>14392.9999999999</v>
      </c>
      <c r="Y185" s="8" t="inlineStr">
        <is>
          <t>Pacific</t>
        </is>
      </c>
      <c r="Z185" s="8" t="inlineStr">
        <is>
          <t>New South Wales (NSW)</t>
        </is>
      </c>
      <c r="AA185" s="11" t="n">
        <v>16204.0003993722</v>
      </c>
      <c r="AB185" s="8" t="inlineStr">
        <is>
          <t>AGL Energy Ltd. is a renewable energy company, which engages in the provision of natural gas distribution services. It operates through the following segments: Customer Markets, Integrated Energy, and Investments. The Customer Markets segment is involved in the retail of electricity, gas, solar, and energy efficiency products and services. The Integrated Energy segment is composed of coal, gas and renewable generation facilities, natural gas storage and production facilities, and development projects. The Investment segment focuses its interests in the ActewAGL Retail Partnership, Tilt Renewables, Energy Impact Partners Europe, Ovo Energy Australia Pty Ltd, and other investments. The company was founded in 1837 and is headquartered in Sydney, Australia.</t>
        </is>
      </c>
      <c r="AC185" s="8" t="inlineStr">
        <is>
          <t>Electric Utilities</t>
        </is>
      </c>
      <c r="AD185" s="8" t="inlineStr">
        <is>
          <t>Energy Utilities</t>
        </is>
      </c>
      <c r="AE185" s="8" t="inlineStr">
        <is>
          <t>Utilities</t>
        </is>
      </c>
      <c r="AF185" s="12" t="inlineStr">
        <is>
          <t>International Electric Utilities</t>
        </is>
      </c>
      <c r="AH185" t="n">
        <v>30400000</v>
      </c>
      <c r="AI185" t="n">
        <v>1</v>
      </c>
      <c r="AJ185" t="inlineStr">
        <is>
          <t>Scope 1 (MtCO2e),30.42,32.9,,CTAP target</t>
        </is>
      </c>
      <c r="AK185" t="n">
        <v>250000</v>
      </c>
      <c r="AL185" t="n">
        <v>1</v>
      </c>
      <c r="AM185" t="inlineStr">
        <is>
          <t>Scope 2 (location-based) (MtCO2e),0.252,0.26,,CTAP target</t>
        </is>
      </c>
      <c r="AN185" t="n">
        <v>23200000</v>
      </c>
      <c r="AO185" t="n">
        <v>1</v>
      </c>
      <c r="AP185" t="inlineStr">
        <is>
          <t>Operated and contracted generation intensity,tCO2e/MWh,0.9082,0.936,0.916,NR,NR
Scope 3 emissions,MtCO2e,23.22,25.8,24.8,25.1,25.2
Emissions intensity of total revenue,ktCO2e/$m,2.12,2.4,2.5,3.0,3.7</t>
        </is>
      </c>
      <c r="AQ185" t="n">
        <v>26</v>
      </c>
      <c r="AR185" t="n">
        <v>-0.006809</v>
      </c>
      <c r="AS185" t="n">
        <v>0.001806</v>
      </c>
    </row>
    <row r="186" ht="15" customHeight="1">
      <c r="A186" s="8" t="inlineStr">
        <is>
          <t>GDG-AU</t>
        </is>
      </c>
      <c r="B186" s="8" t="inlineStr">
        <is>
          <t>Generation Development Group Ltd.</t>
        </is>
      </c>
      <c r="C186" s="8" t="n"/>
      <c r="D186" s="8" t="n"/>
      <c r="E186" s="8" t="n"/>
      <c r="F186" s="8" t="n"/>
      <c r="G186" s="8" t="n"/>
      <c r="H186" s="8" t="n"/>
      <c r="I186" s="8" t="n"/>
      <c r="J186" s="8" t="n"/>
      <c r="K186" s="8" t="n"/>
      <c r="L186" s="8" t="n"/>
      <c r="M186" s="8" t="n"/>
      <c r="N186" s="17" t="n"/>
      <c r="O186" s="17" t="n"/>
      <c r="P186" s="17" t="n"/>
      <c r="Q186" s="17" t="n"/>
      <c r="R186" s="10">
        <f>IFERROR(_xlfn.XLOOKUP($A186,Profitability!$A$5:$A$342,Profitability!$Q$5:$Q$342),"na")</f>
        <v/>
      </c>
      <c r="S186" s="10">
        <f>IFERROR(_xlfn.XLOOKUP($A186,Profitability!$A$5:$A$342,Profitability!$R$5:$R$342),"na")</f>
        <v/>
      </c>
      <c r="T186" s="8" t="inlineStr">
        <is>
          <t>Public</t>
        </is>
      </c>
      <c r="U186" s="8" t="inlineStr">
        <is>
          <t>Australia</t>
        </is>
      </c>
      <c r="V186" s="9" t="n">
        <v>1999</v>
      </c>
      <c r="W186" s="10" t="inlineStr">
        <is>
          <t>-</t>
        </is>
      </c>
      <c r="X186" s="11" t="n">
        <v>219.517</v>
      </c>
      <c r="Y186" s="8" t="inlineStr">
        <is>
          <t>Pacific</t>
        </is>
      </c>
      <c r="Z186" s="8" t="inlineStr">
        <is>
          <t>Victoria (VIC)</t>
        </is>
      </c>
      <c r="AA186" s="11" t="n">
        <v>5514.56613591486</v>
      </c>
      <c r="AB186" s="8" t="inlineStr">
        <is>
          <t>Generation Development Group Ltd. engages in the provision of development capital to financial sector businesses. It operates through the following segments: Benefits Funds Management and Funds Administration, Other Business, and Benefits Funds. The Benefits Funds Management and Funds Administration segment includes administration and management services to the benefits. The Other Business segment refers to the investment associates of the company. The Benefis Funds segment focuses on the operation of results and financial position of the benefits funds. The company was founded in 1991 by Martin Edward Ryan and is headquartered in Melbourne, Australia.</t>
        </is>
      </c>
      <c r="AC186" s="8" t="inlineStr">
        <is>
          <t>Asset Management and Financial Advisory Services</t>
        </is>
      </c>
      <c r="AD186" s="8" t="inlineStr">
        <is>
          <t>Investment Services</t>
        </is>
      </c>
      <c r="AE186" s="8" t="inlineStr">
        <is>
          <t>Investment Services</t>
        </is>
      </c>
      <c r="AF186" s="12" t="inlineStr">
        <is>
          <t>Funds Management and Advisors</t>
        </is>
      </c>
      <c r="AR186" t="n">
        <v>0.174233</v>
      </c>
    </row>
    <row r="187" ht="15" customHeight="1">
      <c r="A187" s="8" t="inlineStr">
        <is>
          <t>COL-AU</t>
        </is>
      </c>
      <c r="B187" s="8" t="inlineStr">
        <is>
          <t>Coles Group Ltd.</t>
        </is>
      </c>
      <c r="C187" s="8" t="n"/>
      <c r="D187" s="8" t="n"/>
      <c r="E187" s="8" t="n"/>
      <c r="F187" s="8" t="n"/>
      <c r="G187" s="8" t="n"/>
      <c r="H187" s="8" t="n"/>
      <c r="I187" s="8" t="n"/>
      <c r="J187" s="8" t="n"/>
      <c r="K187" s="8" t="n"/>
      <c r="L187" s="8" t="n"/>
      <c r="M187" s="8" t="n"/>
      <c r="N187" s="17" t="n"/>
      <c r="O187" s="17" t="n"/>
      <c r="P187" s="10" t="n">
        <v>245658</v>
      </c>
      <c r="Q187" s="10" t="n">
        <v>1040441</v>
      </c>
      <c r="R187" s="10">
        <f>IFERROR(_xlfn.XLOOKUP($A187,Profitability!$A$5:$A$342,Profitability!$Q$5:$Q$342),"na")</f>
        <v/>
      </c>
      <c r="S187" s="10">
        <f>IFERROR(_xlfn.XLOOKUP($A187,Profitability!$A$5:$A$342,Profitability!$R$5:$R$342),"na")</f>
        <v/>
      </c>
      <c r="T187" s="8" t="inlineStr">
        <is>
          <t>Public</t>
        </is>
      </c>
      <c r="U187" s="8" t="inlineStr">
        <is>
          <t>Australia</t>
        </is>
      </c>
      <c r="V187" s="9" t="n">
        <v>1921</v>
      </c>
      <c r="W187" s="10" t="n">
        <v>115000</v>
      </c>
      <c r="X187" s="11" t="n">
        <v>44489.0388643381</v>
      </c>
      <c r="Y187" s="8" t="inlineStr">
        <is>
          <t>Pacific</t>
        </is>
      </c>
      <c r="Z187" s="8" t="inlineStr">
        <is>
          <t>Victoria (VIC)</t>
        </is>
      </c>
      <c r="AA187" s="11" t="n">
        <v>22869.9888449156</v>
      </c>
      <c r="AB187" s="8" t="inlineStr">
        <is>
          <t>Coles Group Ltd. engages in the operation of supermarkets and retail stores. It operates through the following segments: Supermarkets, Liquor, and Other. The Supermarkets segment provides fresh food, groceries, and general merchandise retailing. The Liquor segment provides liquor retailing, including online delivery services. The Other segment includes property, insurance, and treasury. The company was founded in 1914 and is headquartered in Melbourne, Australia.</t>
        </is>
      </c>
      <c r="AC187" s="8" t="inlineStr">
        <is>
          <t>Grocery Stores</t>
        </is>
      </c>
      <c r="AD187" s="8" t="inlineStr">
        <is>
          <t>Food and Beverage Retail</t>
        </is>
      </c>
      <c r="AE187" s="8" t="inlineStr">
        <is>
          <t>Food and Staples Retail</t>
        </is>
      </c>
      <c r="AF187" s="12" t="inlineStr">
        <is>
          <t>Supermarkets</t>
        </is>
      </c>
      <c r="AR187" t="n">
        <v>0.024254</v>
      </c>
    </row>
    <row r="188" ht="15" customHeight="1">
      <c r="A188" s="8" t="inlineStr">
        <is>
          <t>CCX-AU</t>
        </is>
      </c>
      <c r="B188" s="8" t="inlineStr">
        <is>
          <t>City Chic Collective Ltd.</t>
        </is>
      </c>
      <c r="C188" s="8" t="n"/>
      <c r="D188" s="8" t="n"/>
      <c r="E188" s="8" t="n"/>
      <c r="F188" s="8" t="n"/>
      <c r="G188" s="8" t="n"/>
      <c r="H188" s="8" t="n"/>
      <c r="I188" s="8" t="n"/>
      <c r="J188" s="8" t="n"/>
      <c r="K188" s="8" t="n"/>
      <c r="L188" s="8" t="n"/>
      <c r="M188" s="8" t="n"/>
      <c r="N188" s="17" t="n"/>
      <c r="O188" s="17" t="n"/>
      <c r="P188" s="17" t="n"/>
      <c r="Q188" s="17" t="n"/>
      <c r="R188" s="10">
        <f>IFERROR(_xlfn.XLOOKUP($A188,Profitability!$A$5:$A$342,Profitability!$Q$5:$Q$342),"na")</f>
        <v/>
      </c>
      <c r="S188" s="10">
        <f>IFERROR(_xlfn.XLOOKUP($A188,Profitability!$A$5:$A$342,Profitability!$R$5:$R$342),"na")</f>
        <v/>
      </c>
      <c r="T188" s="8" t="inlineStr">
        <is>
          <t>Public</t>
        </is>
      </c>
      <c r="U188" s="8" t="inlineStr">
        <is>
          <t>Australia</t>
        </is>
      </c>
      <c r="V188" s="9" t="n">
        <v>1992</v>
      </c>
      <c r="W188" s="10" t="n">
        <v>599</v>
      </c>
      <c r="X188" s="11" t="n">
        <v>134.705173331253</v>
      </c>
      <c r="Y188" s="8" t="inlineStr">
        <is>
          <t>Pacific</t>
        </is>
      </c>
      <c r="Z188" s="8" t="inlineStr">
        <is>
          <t>New South Wales (NSW)</t>
        </is>
      </c>
      <c r="AA188" s="11" t="n">
        <v>105.44328775506</v>
      </c>
      <c r="AB188" s="8" t="inlineStr">
        <is>
          <t>City Chic Collective Ltd. engages in the retailing of women's clothing in Australia, New Zealand, South Africa, and the U. S. It offers its products through various brands, such as Millers, Crossroads, Katies, Autograph, and Rivers. The company was founded by Arnold Ian Miller and Sara Miller in 1992 and is headquartered in Alexandria, Australia.</t>
        </is>
      </c>
      <c r="AC188" s="8" t="inlineStr">
        <is>
          <t>Apparel Retail</t>
        </is>
      </c>
      <c r="AD188" s="8" t="inlineStr">
        <is>
          <t>Apparel and Accessories Retail</t>
        </is>
      </c>
      <c r="AE188" s="8" t="inlineStr">
        <is>
          <t>Consumer Retail</t>
        </is>
      </c>
      <c r="AF188" s="12" t="inlineStr">
        <is>
          <t>Other Apparel Retail</t>
        </is>
      </c>
      <c r="AR188" t="n">
        <v>-0.06586500000000001</v>
      </c>
    </row>
    <row r="189" ht="15" customHeight="1">
      <c r="A189" s="8" t="inlineStr">
        <is>
          <t>CCL-AU</t>
        </is>
      </c>
      <c r="B189" s="8" t="inlineStr">
        <is>
          <t>Cuscal Ltd.</t>
        </is>
      </c>
      <c r="C189" s="8" t="n"/>
      <c r="D189" s="8" t="n"/>
      <c r="E189" s="8" t="n"/>
      <c r="F189" s="8" t="n"/>
      <c r="G189" s="8" t="n"/>
      <c r="H189" s="8" t="n"/>
      <c r="I189" s="8" t="n"/>
      <c r="J189" s="8" t="n"/>
      <c r="K189" s="8" t="n"/>
      <c r="L189" s="8" t="n"/>
      <c r="M189" s="8" t="n"/>
      <c r="N189" s="17" t="n"/>
      <c r="O189" s="17" t="n"/>
      <c r="P189" s="17" t="n"/>
      <c r="Q189" s="17" t="n"/>
      <c r="R189" s="10">
        <f>IFERROR(_xlfn.XLOOKUP($A189,Profitability!$A$5:$A$342,Profitability!$Q$5:$Q$342),"na")</f>
        <v/>
      </c>
      <c r="S189" s="10">
        <f>IFERROR(_xlfn.XLOOKUP($A189,Profitability!$A$5:$A$342,Profitability!$R$5:$R$342),"na")</f>
        <v/>
      </c>
      <c r="T189" s="8" t="inlineStr">
        <is>
          <t>Public</t>
        </is>
      </c>
      <c r="U189" s="8" t="inlineStr">
        <is>
          <t>Australia</t>
        </is>
      </c>
      <c r="V189" s="9" t="n">
        <v>1997</v>
      </c>
      <c r="W189" s="10" t="n">
        <v>658</v>
      </c>
      <c r="X189" s="11" t="n">
        <v>398.7</v>
      </c>
      <c r="Y189" s="8" t="inlineStr">
        <is>
          <t>Pacific</t>
        </is>
      </c>
      <c r="Z189" s="8" t="inlineStr">
        <is>
          <t>New South Wales (NSW)</t>
        </is>
      </c>
      <c r="AA189" s="11" t="n">
        <v>3465.20008540512</v>
      </c>
      <c r="AB189" s="8" t="inlineStr">
        <is>
          <t>Cuscal Ltd. engages in the provision of payments and regulated data services. It offers real-time payments, issuing solutions, acquiring solutions, consumer data right (CDR) solutions, financial crimes solutions, enablement and support solutions, and other payment services. The company was founded in 1977 and is headquartered in Sydney, Australia.</t>
        </is>
      </c>
      <c r="AC189" s="8" t="inlineStr">
        <is>
          <t>Consumer Finance Services</t>
        </is>
      </c>
      <c r="AD189" s="8" t="inlineStr">
        <is>
          <t>Specialty Finance</t>
        </is>
      </c>
      <c r="AE189" s="8" t="inlineStr">
        <is>
          <t>Specialty Finance and Services</t>
        </is>
      </c>
      <c r="AF189" s="12" t="inlineStr">
        <is>
          <t>Electronic Transaction Processing/Clearinghouses</t>
        </is>
      </c>
      <c r="AR189" t="n">
        <v>0.07198400000000001</v>
      </c>
    </row>
    <row r="190" ht="15" customHeight="1">
      <c r="A190" s="8" t="inlineStr">
        <is>
          <t>SSM-AU</t>
        </is>
      </c>
      <c r="B190" s="8" t="inlineStr">
        <is>
          <t>Service Stream Ltd.</t>
        </is>
      </c>
      <c r="C190" s="8" t="n"/>
      <c r="D190" s="8" t="n"/>
      <c r="E190" s="8" t="n"/>
      <c r="F190" s="8" t="n"/>
      <c r="G190" s="8" t="n"/>
      <c r="H190" s="8" t="n"/>
      <c r="I190" s="8" t="n"/>
      <c r="J190" s="8" t="n"/>
      <c r="K190" s="8" t="n"/>
      <c r="L190" s="8" t="n"/>
      <c r="M190" s="8" t="n"/>
      <c r="N190" s="17" t="n"/>
      <c r="O190" s="17" t="n"/>
      <c r="P190" s="10" t="n">
        <v>49744</v>
      </c>
      <c r="Q190" s="10" t="n">
        <v>3881</v>
      </c>
      <c r="R190" s="10">
        <f>IFERROR(_xlfn.XLOOKUP($A190,Profitability!$A$5:$A$342,Profitability!$Q$5:$Q$342),"na")</f>
        <v/>
      </c>
      <c r="S190" s="10">
        <f>IFERROR(_xlfn.XLOOKUP($A190,Profitability!$A$5:$A$342,Profitability!$R$5:$R$342),"na")</f>
        <v/>
      </c>
      <c r="T190" s="8" t="inlineStr">
        <is>
          <t>Public</t>
        </is>
      </c>
      <c r="U190" s="8" t="inlineStr">
        <is>
          <t>Australia</t>
        </is>
      </c>
      <c r="V190" s="9" t="n">
        <v>1996</v>
      </c>
      <c r="W190" s="10" t="n">
        <v>5300</v>
      </c>
      <c r="X190" s="11" t="n">
        <v>2326.464</v>
      </c>
      <c r="Y190" s="8" t="inlineStr">
        <is>
          <t>Pacific</t>
        </is>
      </c>
      <c r="Z190" s="8" t="inlineStr">
        <is>
          <t>Victoria (VIC)</t>
        </is>
      </c>
      <c r="AA190" s="11" t="n">
        <v>1045.94602577892</v>
      </c>
      <c r="AB190" s="8" t="inlineStr">
        <is>
          <t>Service Stream Ltd. engages in the business of designing, constructing, operating, and maintaining critical infrastructure networks. It operates through the following segments: Telecommunications, Utilities, Transport, and Other. The Telecommunications segment includes operations, maintenance, installation, design, and construction services to the owners of fixed-line and wireless telecommunication networks. The Utilities segment is involved in gas, water, and electricity network owners, industrial asset owners, and other customers. The Transport segment focuses on long-term operational support and maintenance services to public and private road and tunnel asset owners. The company was founded by Adrian Field and Russell Andrew Small on January 8, 1996 and is headquartered in Melbourne, Australia.</t>
        </is>
      </c>
      <c r="AC190" s="8" t="inlineStr">
        <is>
          <t>Infrastructure Construction/Contracting Services</t>
        </is>
      </c>
      <c r="AD190" s="8" t="inlineStr">
        <is>
          <t>Facilities and Construction Services</t>
        </is>
      </c>
      <c r="AE190" s="8" t="inlineStr">
        <is>
          <t>Industrial Services</t>
        </is>
      </c>
      <c r="AF190" s="12" t="inlineStr">
        <is>
          <t>Infrastructure Construction</t>
        </is>
      </c>
      <c r="AH190" t="n">
        <v>14301</v>
      </c>
      <c r="AJ190" t="inlineStr">
        <is>
          <t>Citation(s): [23]</t>
        </is>
      </c>
      <c r="AK190" t="n">
        <v>3528</v>
      </c>
      <c r="AM190" t="inlineStr">
        <is>
          <t>Citation(s): [23]</t>
        </is>
      </c>
      <c r="AR190" t="n">
        <v>0.025439</v>
      </c>
    </row>
    <row r="191" ht="15" customHeight="1">
      <c r="A191" s="8" t="inlineStr">
        <is>
          <t>NEC-AU</t>
        </is>
      </c>
      <c r="B191" s="8" t="inlineStr">
        <is>
          <t>Nine Entertainment Co. Holdings Ltd.</t>
        </is>
      </c>
      <c r="C191" s="8" t="n"/>
      <c r="D191" s="8" t="n"/>
      <c r="E191" s="8" t="n"/>
      <c r="F191" s="8" t="n"/>
      <c r="G191" s="8" t="n"/>
      <c r="H191" s="8" t="n"/>
      <c r="I191" s="8" t="n"/>
      <c r="J191" s="8" t="n"/>
      <c r="K191" s="8" t="n"/>
      <c r="L191" s="8" t="n"/>
      <c r="M191" s="8" t="n"/>
      <c r="N191" s="17" t="n"/>
      <c r="O191" s="17" t="n"/>
      <c r="P191" s="17" t="n"/>
      <c r="Q191" s="17" t="n"/>
      <c r="R191" s="10">
        <f>IFERROR(_xlfn.XLOOKUP($A191,Profitability!$A$5:$A$342,Profitability!$Q$5:$Q$342),"na")</f>
        <v/>
      </c>
      <c r="S191" s="10">
        <f>IFERROR(_xlfn.XLOOKUP($A191,Profitability!$A$5:$A$342,Profitability!$R$5:$R$342),"na")</f>
        <v/>
      </c>
      <c r="T191" s="8" t="inlineStr">
        <is>
          <t>Public</t>
        </is>
      </c>
      <c r="U191" s="8" t="inlineStr">
        <is>
          <t>Australia</t>
        </is>
      </c>
      <c r="V191" s="9" t="n">
        <v>2006</v>
      </c>
      <c r="W191" s="10" t="inlineStr">
        <is>
          <t>-</t>
        </is>
      </c>
      <c r="X191" s="11" t="n">
        <v>2676.473</v>
      </c>
      <c r="Y191" s="8" t="inlineStr">
        <is>
          <t>Pacific</t>
        </is>
      </c>
      <c r="Z191" s="8" t="inlineStr">
        <is>
          <t>New South Wales (NSW)</t>
        </is>
      </c>
      <c r="AA191" s="11" t="n">
        <v>3965.09109772569</v>
      </c>
      <c r="AB191" s="8" t="inlineStr">
        <is>
          <t>Nine Entertainment Co. Holdings Ltd. operates as a media and entertainment company. It operates through the following segments: Broadcasting, Publishing, Domain Group, and Stan. The Broadcasting segment includes free to air television activities and metropolitan radio networks in Australia. The Publishing segment includes other and metropolitan media. The Domain Group segment engages in real estate media and service businesses. The Stan segment provides subscription video on demand services. The company was founded on October 16, 2006 and is headquartered in North Sydney, Australia.</t>
        </is>
      </c>
      <c r="AC191" s="8" t="inlineStr">
        <is>
          <t>Broadcast Media Services</t>
        </is>
      </c>
      <c r="AD191" s="8" t="inlineStr">
        <is>
          <t>Media and Publishing Services</t>
        </is>
      </c>
      <c r="AE191" s="8" t="inlineStr">
        <is>
          <t>Media and Publishing Services</t>
        </is>
      </c>
      <c r="AF191" s="12" t="inlineStr">
        <is>
          <t>Radio and Television Broadcasting</t>
        </is>
      </c>
      <c r="AH191" t="n">
        <v>1573</v>
      </c>
      <c r="AI191" t="n">
        <v>1</v>
      </c>
      <c r="AJ191" t="inlineStr">
        <is>
          <t>low carbon economy commitments will
implementing scope 1 and scope 2
term",,,,,</t>
        </is>
      </c>
      <c r="AK191" t="n">
        <v>14784</v>
      </c>
      <c r="AL191" t="n">
        <v>1</v>
      </c>
      <c r="AM191" t="inlineStr">
        <is>
          <t>,upstream in FY25,,
,,,"Documentation – 2022v0.3, FootprintLab."
Category 10: Processing of sold,Not applicable to media,,</t>
        </is>
      </c>
      <c r="AN191" t="n">
        <v>473826</v>
      </c>
      <c r="AO191" t="n">
        <v>1</v>
      </c>
      <c r="AP191" t="inlineStr">
        <is>
          <t>,upstream in FY25,,
,,,"Documentation – 2022v0.3, FootprintLab."
Category 10: Processing of sold,Not applicable to media,,</t>
        </is>
      </c>
      <c r="AQ191" t="n">
        <v>2</v>
      </c>
      <c r="AR191" t="n">
        <v>0.038816</v>
      </c>
      <c r="AS191" t="n">
        <v>0.0007470000000000001</v>
      </c>
    </row>
    <row r="192" ht="15" customHeight="1">
      <c r="A192" s="8" t="inlineStr">
        <is>
          <t>MPL-AU</t>
        </is>
      </c>
      <c r="B192" s="8" t="inlineStr">
        <is>
          <t>Medibank Private Ltd.</t>
        </is>
      </c>
      <c r="C192" s="8" t="n"/>
      <c r="D192" s="8" t="n"/>
      <c r="E192" s="8" t="n"/>
      <c r="F192" s="8" t="n"/>
      <c r="G192" s="8" t="n"/>
      <c r="H192" s="8" t="n"/>
      <c r="I192" s="8" t="n"/>
      <c r="J192" s="8" t="n"/>
      <c r="K192" s="8" t="n"/>
      <c r="L192" s="8" t="n"/>
      <c r="M192" s="8" t="n"/>
      <c r="N192" s="17" t="n"/>
      <c r="O192" s="17" t="n"/>
      <c r="P192" s="17" t="n"/>
      <c r="Q192" s="17" t="n"/>
      <c r="R192" s="10">
        <f>IFERROR(_xlfn.XLOOKUP($A192,Profitability!$A$5:$A$342,Profitability!$Q$5:$Q$342),"na")</f>
        <v/>
      </c>
      <c r="S192" s="10">
        <f>IFERROR(_xlfn.XLOOKUP($A192,Profitability!$A$5:$A$342,Profitability!$R$5:$R$342),"na")</f>
        <v/>
      </c>
      <c r="T192" s="8" t="inlineStr">
        <is>
          <t>Public</t>
        </is>
      </c>
      <c r="U192" s="8" t="inlineStr">
        <is>
          <t>Australia</t>
        </is>
      </c>
      <c r="V192" s="9" t="n">
        <v>1976</v>
      </c>
      <c r="W192" s="10" t="n">
        <v>3604</v>
      </c>
      <c r="X192" s="11" t="n">
        <v>8532.79999999999</v>
      </c>
      <c r="Y192" s="8" t="inlineStr">
        <is>
          <t>Pacific</t>
        </is>
      </c>
      <c r="Z192" s="8" t="inlineStr">
        <is>
          <t>Victoria (VIC)</t>
        </is>
      </c>
      <c r="AA192" s="11" t="n">
        <v>4700.30011584603</v>
      </c>
      <c r="AB192" s="8" t="inlineStr">
        <is>
          <t>Medibank Private Ltd. engages in the underwriting and distribution of private health insurance policies. It operates through the Health Insurance and Medibank Health segments.The Health Insurance segment offers private health insurance products including hospital cover and ancillary cover, as stand-alone products and packaged products. The Medibank Health segment refers to a range of activities including contracting with government and corporate customers to provide health management services, as well as providing a range of telehealth services in Australia. The company was founded in 1976 and is headquartered in Docklands, Australia.</t>
        </is>
      </c>
      <c r="AC192" s="8" t="inlineStr">
        <is>
          <t>Life and Health Insurance</t>
        </is>
      </c>
      <c r="AD192" s="8" t="inlineStr">
        <is>
          <t>Insurance</t>
        </is>
      </c>
      <c r="AE192" s="8" t="inlineStr">
        <is>
          <t>Insurance</t>
        </is>
      </c>
      <c r="AF192" s="12" t="inlineStr">
        <is>
          <t>Supplemental Health Insurance</t>
        </is>
      </c>
      <c r="AH192" t="n">
        <v>58</v>
      </c>
      <c r="AI192" t="n">
        <v>1</v>
      </c>
      <c r="AJ192" t="inlineStr">
        <is>
          <t>"Category, name &amp; scope",,FY253,FY24,FY23,(base year),FY25,FY24,(base year)
Scope 1,,57.9,68.7,71.3,130.5,0,0,0
"Refrigerants, fuel &amp; gas",Scope 1,57.9,68.7,71.3,130.5,0,0,0</t>
        </is>
      </c>
      <c r="AK192" t="n">
        <v>1532</v>
      </c>
      <c r="AL192" t="n">
        <v>1</v>
      </c>
      <c r="AM192" t="inlineStr">
        <is>
          <t>"to a total of 27,544.1 t CO2-equivalent. Our next step will be",
,across these sites to strengthen the reliability of our Scope 2
to reassess targets and our decarbonisation pathway.,</t>
        </is>
      </c>
      <c r="AN192" t="n">
        <v>30810</v>
      </c>
      <c r="AO192" t="n">
        <v>1</v>
      </c>
      <c r="AP192" t="inlineStr">
        <is>
          <t>"Category, name &amp; scope",,FY253,FY24,FY23,(base year),FY25,FY24,(base year)
Scope 1,,57.9,68.7,71.3,130.5,0,0,0
"Refrigerants, fuel &amp; gas",Scope 1,57.9,68.7,71.3,130.5,0,0,0</t>
        </is>
      </c>
      <c r="AQ192" t="n">
        <v>36</v>
      </c>
      <c r="AR192" t="n">
        <v>0.058691</v>
      </c>
      <c r="AS192" t="n">
        <v>0.004219</v>
      </c>
    </row>
    <row r="193" ht="15" customHeight="1">
      <c r="A193" s="8" t="inlineStr">
        <is>
          <t>QUB-AU</t>
        </is>
      </c>
      <c r="B193" s="8" t="inlineStr">
        <is>
          <t>Qube Holdings Ltd.</t>
        </is>
      </c>
      <c r="C193" s="8" t="n"/>
      <c r="D193" s="8" t="n"/>
      <c r="E193" s="8" t="n"/>
      <c r="F193" s="8" t="n"/>
      <c r="G193" s="8" t="n"/>
      <c r="H193" s="8" t="n"/>
      <c r="I193" s="8" t="n"/>
      <c r="J193" s="8" t="n"/>
      <c r="K193" s="8" t="n"/>
      <c r="L193" s="8" t="n"/>
      <c r="M193" s="8" t="n"/>
      <c r="N193" s="17" t="n"/>
      <c r="O193" s="17" t="n"/>
      <c r="P193" s="10" t="n">
        <v>382811</v>
      </c>
      <c r="Q193" s="10" t="n">
        <v>20465</v>
      </c>
      <c r="R193" s="10">
        <f>IFERROR(_xlfn.XLOOKUP($A193,Profitability!$A$5:$A$342,Profitability!$Q$5:$Q$342),"na")</f>
        <v/>
      </c>
      <c r="S193" s="10">
        <f>IFERROR(_xlfn.XLOOKUP($A193,Profitability!$A$5:$A$342,Profitability!$R$5:$R$342),"na")</f>
        <v/>
      </c>
      <c r="T193" s="8" t="inlineStr">
        <is>
          <t>Public</t>
        </is>
      </c>
      <c r="U193" s="8" t="inlineStr">
        <is>
          <t>Australia</t>
        </is>
      </c>
      <c r="V193" s="9" t="n">
        <v>2006</v>
      </c>
      <c r="W193" s="10" t="n">
        <v>10000</v>
      </c>
      <c r="X193" s="11" t="n">
        <v>4166.89999999999</v>
      </c>
      <c r="Y193" s="8" t="inlineStr">
        <is>
          <t>Pacific</t>
        </is>
      </c>
      <c r="Z193" s="8" t="inlineStr">
        <is>
          <t>New South Wales (NSW)</t>
        </is>
      </c>
      <c r="AA193" s="11" t="n">
        <v>7415.30018276133</v>
      </c>
      <c r="AB193" s="8" t="inlineStr">
        <is>
          <t>Qube Holdings Ltd. is a logistics and infrastructure company, which engages in the provision of import and export logistics services. The firm operates through the following segments: Operating Division, Property Division, Patrick, Corporate and Other. The Operating Division segment comprises Qube Ports, Qube Bulk and Qube Logistics. The Property Division segment primarily comprises the Moorebank Logistics Park Project. The Patrick segment provides container stevedoring services in the Australian market with operations in the four largest container terminal ports in Australia. The Corporate and Other segment provides strategic, commercial and treasury support to the divisions as well as to develop and manage new growth opportunities that do not fall within one of the existing divisions. The company was founded by Sam Kaplan in 2006 and is headquartered in Sydney, Australia.</t>
        </is>
      </c>
      <c r="AC193" s="8" t="inlineStr">
        <is>
          <t>Air and Water Transportation Operators</t>
        </is>
      </c>
      <c r="AD193" s="8" t="inlineStr">
        <is>
          <t>Cargo Transportation and Infrastructure Services</t>
        </is>
      </c>
      <c r="AE193" s="8" t="inlineStr">
        <is>
          <t>Industrial Services</t>
        </is>
      </c>
      <c r="AF193" s="12" t="inlineStr">
        <is>
          <t>Water Transportation</t>
        </is>
      </c>
      <c r="AH193" t="n">
        <v>414891</v>
      </c>
      <c r="AI193" t="n">
        <v>1</v>
      </c>
      <c r="AJ193" t="inlineStr">
        <is>
          <t>"In FY25, Qube’s total Australian absolute calculated GHG emissions were approximately 437 thousand tonnes of carbon"
dioxide equivalent (KtCO2-e). This included 415 KtCO2-e Scope 1 and 23 KtCO2-e Scope 2 (location-based).
This represents a 5% increase in operational GHG emissions compared with FY241 and this is tied to business growth</t>
        </is>
      </c>
      <c r="AK193" t="n">
        <v>22561</v>
      </c>
      <c r="AL193" t="n">
        <v>1</v>
      </c>
      <c r="AM193" t="inlineStr">
        <is>
          <t>"In FY25, Qube’s total Australian absolute calculated GHG emissions were approximately 437 thousand tonnes of carbon"
dioxide equivalent (KtCO2-e). This included 415 KtCO2-e Scope 1 and 23 KtCO2-e Scope 2 (location-based).
This represents a 5% increase in operational GHG emissions compared with FY241 and this is tied to business growth</t>
        </is>
      </c>
      <c r="AN193" t="n">
        <v>113000</v>
      </c>
      <c r="AQ193" t="n">
        <v>5</v>
      </c>
      <c r="AR193" t="n">
        <v>0.027166</v>
      </c>
      <c r="AS193" t="n">
        <v>0.0012</v>
      </c>
    </row>
    <row r="194" ht="15" customHeight="1">
      <c r="A194" s="8" t="inlineStr">
        <is>
          <t>MFF-AU</t>
        </is>
      </c>
      <c r="B194" s="8" t="inlineStr">
        <is>
          <t>MFF Capital Investments Ltd.</t>
        </is>
      </c>
      <c r="C194" s="8" t="n"/>
      <c r="D194" s="8" t="n"/>
      <c r="E194" s="8" t="n"/>
      <c r="F194" s="8" t="n"/>
      <c r="G194" s="8" t="n"/>
      <c r="H194" s="8" t="n"/>
      <c r="I194" s="8" t="n"/>
      <c r="J194" s="8" t="n"/>
      <c r="K194" s="8" t="n"/>
      <c r="L194" s="8" t="n"/>
      <c r="M194" s="8" t="n"/>
      <c r="N194" s="17" t="n"/>
      <c r="O194" s="17" t="n"/>
      <c r="P194" s="17" t="n"/>
      <c r="Q194" s="17" t="n"/>
      <c r="R194" s="10">
        <f>IFERROR(_xlfn.XLOOKUP($A194,Profitability!$A$5:$A$342,Profitability!$Q$5:$Q$342),"na")</f>
        <v/>
      </c>
      <c r="S194" s="10">
        <f>IFERROR(_xlfn.XLOOKUP($A194,Profitability!$A$5:$A$342,Profitability!$R$5:$R$342),"na")</f>
        <v/>
      </c>
      <c r="T194" s="8" t="inlineStr">
        <is>
          <t>Public</t>
        </is>
      </c>
      <c r="U194" s="8" t="inlineStr">
        <is>
          <t>Australia</t>
        </is>
      </c>
      <c r="V194" s="9" t="n">
        <v>2006</v>
      </c>
      <c r="W194" s="10" t="inlineStr">
        <is>
          <t>-</t>
        </is>
      </c>
      <c r="X194" s="11" t="n">
        <v>44.4879999999999</v>
      </c>
      <c r="Y194" s="8" t="inlineStr">
        <is>
          <t>Pacific</t>
        </is>
      </c>
      <c r="Z194" s="8" t="inlineStr">
        <is>
          <t>New South Wales (NSW)</t>
        </is>
      </c>
      <c r="AA194" s="11" t="n">
        <v>2952.71907277425</v>
      </c>
      <c r="AB194" s="8" t="inlineStr">
        <is>
          <t>MFF Capital Investments Ltd. operates as a closed-end investment fund. It provides investment services in a minimum of twenty exchange listed international and Australian companies. The company was founded on October 19, 2006 and is headquartered in Sydney, Australia.</t>
        </is>
      </c>
      <c r="AC194" s="8" t="inlineStr">
        <is>
          <t>-</t>
        </is>
      </c>
      <c r="AD194" s="8" t="inlineStr">
        <is>
          <t>-</t>
        </is>
      </c>
      <c r="AE194" s="8" t="inlineStr">
        <is>
          <t>-</t>
        </is>
      </c>
      <c r="AF194" s="12" t="inlineStr">
        <is>
          <t>-</t>
        </is>
      </c>
      <c r="AR194" t="n">
        <v>9.709832</v>
      </c>
    </row>
    <row r="195" ht="15" customHeight="1">
      <c r="A195" s="8" t="inlineStr">
        <is>
          <t>PNI-AU</t>
        </is>
      </c>
      <c r="B195" s="8" t="inlineStr">
        <is>
          <t>Pinnacle Investment Management Group Ltd.</t>
        </is>
      </c>
      <c r="C195" s="8" t="n"/>
      <c r="D195" s="8" t="n"/>
      <c r="E195" s="8" t="n"/>
      <c r="F195" s="8" t="n"/>
      <c r="G195" s="8" t="n"/>
      <c r="H195" s="8" t="n"/>
      <c r="I195" s="8" t="n"/>
      <c r="J195" s="8" t="n"/>
      <c r="K195" s="8" t="n"/>
      <c r="L195" s="8" t="n"/>
      <c r="M195" s="8" t="n"/>
      <c r="N195" s="17" t="n"/>
      <c r="O195" s="17" t="n"/>
      <c r="P195" s="17" t="n"/>
      <c r="Q195" s="17" t="n"/>
      <c r="R195" s="10">
        <f>IFERROR(_xlfn.XLOOKUP($A195,Profitability!$A$5:$A$342,Profitability!$Q$5:$Q$342),"na")</f>
        <v/>
      </c>
      <c r="S195" s="10">
        <f>IFERROR(_xlfn.XLOOKUP($A195,Profitability!$A$5:$A$342,Profitability!$R$5:$R$342),"na")</f>
        <v/>
      </c>
      <c r="T195" s="8" t="inlineStr">
        <is>
          <t>Public</t>
        </is>
      </c>
      <c r="U195" s="8" t="inlineStr">
        <is>
          <t>Australia</t>
        </is>
      </c>
      <c r="V195" s="9" t="n">
        <v>2002</v>
      </c>
      <c r="W195" s="10" t="inlineStr">
        <is>
          <t>-</t>
        </is>
      </c>
      <c r="X195" s="11" t="n">
        <v>77.809</v>
      </c>
      <c r="Y195" s="8" t="inlineStr">
        <is>
          <t>Pacific</t>
        </is>
      </c>
      <c r="Z195" s="8" t="inlineStr">
        <is>
          <t>New South Wales (NSW)</t>
        </is>
      </c>
      <c r="AA195" s="11" t="n">
        <v>1060.97002614921</v>
      </c>
      <c r="AB195" s="8" t="inlineStr">
        <is>
          <t>Pinnacle Investment Management Group Ltd. engages in the provision of distribution services and business support as well as building and operating management businesses. The company was founded by Ian Macoun on April 23, 2002, and is headquartered in Sydney, Australia.</t>
        </is>
      </c>
      <c r="AC195" s="8" t="inlineStr">
        <is>
          <t>Asset Management and Financial Advisory Services</t>
        </is>
      </c>
      <c r="AD195" s="8" t="inlineStr">
        <is>
          <t>Investment Services</t>
        </is>
      </c>
      <c r="AE195" s="8" t="inlineStr">
        <is>
          <t>Investment Services</t>
        </is>
      </c>
      <c r="AF195" s="12" t="inlineStr">
        <is>
          <t>Institutional and High-Net Advisory Services</t>
        </is>
      </c>
      <c r="AH195" t="n">
        <v>0</v>
      </c>
      <c r="AJ195" t="inlineStr">
        <is>
          <t>Scope 1 is 0 [17]. Scope 2 (market-based) is 0 due to LGC purchases [17, 18]. Scope 3 uses market-based methodology [17].</t>
        </is>
      </c>
      <c r="AK195" t="n">
        <v>0</v>
      </c>
      <c r="AM195" t="inlineStr">
        <is>
          <t>Scope 1 is 0 [17]. Scope 2 (market-based) is 0 due to LGC purchases [17, 18]. Scope 3 uses market-based methodology [17].</t>
        </is>
      </c>
      <c r="AN195" t="n">
        <v>1194</v>
      </c>
      <c r="AP195" t="inlineStr">
        <is>
          <t>Scope 1 is 0 [17]. Scope 2 (market-based) is 0 due to LGC purchases [17, 18]. Scope 3 uses market-based methodology [17].</t>
        </is>
      </c>
      <c r="AR195" t="n">
        <v>1.727654</v>
      </c>
    </row>
    <row r="196" ht="15" customHeight="1">
      <c r="A196" s="8" t="inlineStr">
        <is>
          <t>LIC-AU</t>
        </is>
      </c>
      <c r="B196" s="8" t="inlineStr">
        <is>
          <t>Lifestyle Communities Ltd.</t>
        </is>
      </c>
      <c r="C196" s="8" t="n"/>
      <c r="D196" s="8" t="n"/>
      <c r="E196" s="8" t="n"/>
      <c r="F196" s="8" t="n"/>
      <c r="G196" s="8" t="n"/>
      <c r="H196" s="8" t="n"/>
      <c r="I196" s="8" t="n"/>
      <c r="J196" s="8" t="n"/>
      <c r="K196" s="8" t="n"/>
      <c r="L196" s="8" t="n"/>
      <c r="M196" s="8" t="n"/>
      <c r="N196" s="17" t="n"/>
      <c r="O196" s="17" t="n"/>
      <c r="P196" s="17" t="n"/>
      <c r="Q196" s="17" t="n"/>
      <c r="R196" s="10">
        <f>IFERROR(_xlfn.XLOOKUP($A196,Profitability!$A$5:$A$342,Profitability!$Q$5:$Q$342),"na")</f>
        <v/>
      </c>
      <c r="S196" s="10">
        <f>IFERROR(_xlfn.XLOOKUP($A196,Profitability!$A$5:$A$342,Profitability!$R$5:$R$342),"na")</f>
        <v/>
      </c>
      <c r="T196" s="8" t="inlineStr">
        <is>
          <t>Public</t>
        </is>
      </c>
      <c r="U196" s="8" t="inlineStr">
        <is>
          <t>Australia</t>
        </is>
      </c>
      <c r="V196" s="9" t="n">
        <v>2003</v>
      </c>
      <c r="W196" s="10" t="n">
        <v>164</v>
      </c>
      <c r="X196" s="11" t="n">
        <v>148.581</v>
      </c>
      <c r="Y196" s="8" t="inlineStr">
        <is>
          <t>Pacific</t>
        </is>
      </c>
      <c r="Z196" s="8" t="inlineStr">
        <is>
          <t>Victoria (VIC)</t>
        </is>
      </c>
      <c r="AA196" s="11" t="n">
        <v>1348.32903323161</v>
      </c>
      <c r="AB196" s="8" t="inlineStr">
        <is>
          <t>Lifestyle Communities Ltd. engages in the development, ownership, and management of land lease communities. It offers independent living residential land lease communities for senior citizens, as well as home designs, resort lifestyle homes with various sports and entertainment facilities. The company was founded by Dael S. Perlov, Bruce Carter, and James L. Kelly in 2003 and is headquartered in South Melbourne, Australia.</t>
        </is>
      </c>
      <c r="AC196" s="8" t="inlineStr">
        <is>
          <t>Other Real Estate Investment and Services</t>
        </is>
      </c>
      <c r="AD196" s="8" t="inlineStr">
        <is>
          <t>Real Estate Investment and Services</t>
        </is>
      </c>
      <c r="AE196" s="8" t="inlineStr">
        <is>
          <t>Real Estate</t>
        </is>
      </c>
      <c r="AF196" s="12" t="inlineStr">
        <is>
          <t>Real Estate Developers</t>
        </is>
      </c>
      <c r="AH196" t="n">
        <v>371</v>
      </c>
      <c r="AI196" t="n">
        <v>0.9</v>
      </c>
      <c r="AJ196" t="inlineStr">
        <is>
          <t>"Natural gas
6",0,
,,operations.</t>
        </is>
      </c>
      <c r="AK196" t="n">
        <v>3436</v>
      </c>
      <c r="AL196" t="n">
        <v>0.9</v>
      </c>
      <c r="AM196" t="inlineStr">
        <is>
          <t>Scope 1
Scope 2",Scope 3,
,,of our emissions split between development and</t>
        </is>
      </c>
      <c r="AN196" t="n">
        <v>11489</v>
      </c>
      <c r="AO196" t="n">
        <v>0.9</v>
      </c>
      <c r="AP196" t="inlineStr">
        <is>
          <t>Scope 1
Scope 2",Scope 3,
,,of our emissions split between development and</t>
        </is>
      </c>
      <c r="AQ196" t="n">
        <v>7</v>
      </c>
      <c r="AR196" t="n">
        <v>-1.314239</v>
      </c>
      <c r="AS196" t="n">
        <v>0.047112</v>
      </c>
    </row>
    <row r="197" ht="15" customHeight="1">
      <c r="A197" s="8" t="inlineStr">
        <is>
          <t>NWH-AU</t>
        </is>
      </c>
      <c r="B197" s="8" t="inlineStr">
        <is>
          <t>NRW Holdings Ltd.</t>
        </is>
      </c>
      <c r="C197" s="8" t="n"/>
      <c r="D197" s="8" t="n"/>
      <c r="E197" s="8" t="n"/>
      <c r="F197" s="8" t="n"/>
      <c r="G197" s="8" t="n"/>
      <c r="H197" s="8" t="n"/>
      <c r="I197" s="8" t="n"/>
      <c r="J197" s="8" t="n"/>
      <c r="K197" s="8" t="n"/>
      <c r="L197" s="8" t="n"/>
      <c r="M197" s="8" t="n"/>
      <c r="N197" s="17" t="n"/>
      <c r="O197" s="17" t="n"/>
      <c r="P197" s="17" t="n"/>
      <c r="Q197" s="17" t="n"/>
      <c r="R197" s="10">
        <f>IFERROR(_xlfn.XLOOKUP($A197,Profitability!$A$5:$A$342,Profitability!$Q$5:$Q$342),"na")</f>
        <v/>
      </c>
      <c r="S197" s="10">
        <f>IFERROR(_xlfn.XLOOKUP($A197,Profitability!$A$5:$A$342,Profitability!$R$5:$R$342),"na")</f>
        <v/>
      </c>
      <c r="T197" s="8" t="inlineStr">
        <is>
          <t>Public</t>
        </is>
      </c>
      <c r="U197" s="8" t="inlineStr">
        <is>
          <t>Australia</t>
        </is>
      </c>
      <c r="V197" s="9" t="n">
        <v>2006</v>
      </c>
      <c r="W197" s="10" t="n">
        <v>8800</v>
      </c>
      <c r="X197" s="11" t="n">
        <v>3267.69</v>
      </c>
      <c r="Y197" s="8" t="inlineStr">
        <is>
          <t>Pacific</t>
        </is>
      </c>
      <c r="Z197" s="8" t="inlineStr">
        <is>
          <t>Western Australia (WA)</t>
        </is>
      </c>
      <c r="AA197" s="11" t="n">
        <v>1812.03104466025</v>
      </c>
      <c r="AB197" s="8" t="inlineStr">
        <is>
          <t>NRW Holdings Ltd. engages in the provision of civil contracting and mining services. It operates through the following business segments: Mining Technologies, Civil, Mining, and Drill and Blast. The Civil segment is comprised of civil business of NRW together with the Golding Civil and Urban businesses. The Mining segment consolidates the mining businesses of NEW and Golding together with the mining support business AES equipment solutions of NRW. The Drill and Blast segment is consist of action drill and blast. The Mining Technologies segment provides materials handling services as well as facility maintenance and shutdown services. The company was founded by Jeffery William McGlinn and Nicholas John Ross Silverthorne in 1994 and is headquartered in Belmont, Australia.</t>
        </is>
      </c>
      <c r="AC197" s="8" t="inlineStr">
        <is>
          <t>Specialty Contracting Services</t>
        </is>
      </c>
      <c r="AD197" s="8" t="inlineStr">
        <is>
          <t>Facilities and Construction Services</t>
        </is>
      </c>
      <c r="AE197" s="8" t="inlineStr">
        <is>
          <t>Industrial Services</t>
        </is>
      </c>
      <c r="AF197" s="12" t="inlineStr">
        <is>
          <t>Industrial Specialty Engineering Contractors</t>
        </is>
      </c>
      <c r="AR197" t="n">
        <v>0.008469000000000001</v>
      </c>
    </row>
    <row r="198" ht="15" customHeight="1">
      <c r="A198" s="8" t="inlineStr">
        <is>
          <t>BBC-AU</t>
        </is>
      </c>
      <c r="B198" s="8" t="inlineStr">
        <is>
          <t>BNK Banking Corp. Ltd.</t>
        </is>
      </c>
      <c r="C198" s="8" t="n"/>
      <c r="D198" s="8" t="n"/>
      <c r="E198" s="8" t="n"/>
      <c r="F198" s="8" t="n"/>
      <c r="G198" s="8" t="n"/>
      <c r="H198" s="8" t="n"/>
      <c r="I198" s="8" t="n"/>
      <c r="J198" s="8" t="n"/>
      <c r="K198" s="8" t="n"/>
      <c r="L198" s="8" t="n"/>
      <c r="M198" s="8" t="n"/>
      <c r="N198" s="17" t="n"/>
      <c r="O198" s="17" t="n"/>
      <c r="P198" s="17" t="n"/>
      <c r="Q198" s="17" t="n"/>
      <c r="R198" s="10">
        <f>IFERROR(_xlfn.XLOOKUP($A198,Profitability!$A$5:$A$342,Profitability!$Q$5:$Q$342),"na")</f>
        <v/>
      </c>
      <c r="S198" s="10">
        <f>IFERROR(_xlfn.XLOOKUP($A198,Profitability!$A$5:$A$342,Profitability!$R$5:$R$342),"na")</f>
        <v/>
      </c>
      <c r="T198" s="8" t="inlineStr">
        <is>
          <t>Public</t>
        </is>
      </c>
      <c r="U198" s="8" t="inlineStr">
        <is>
          <t>Australia</t>
        </is>
      </c>
      <c r="V198" s="9" t="n">
        <v>1982</v>
      </c>
      <c r="W198" s="10" t="inlineStr">
        <is>
          <t>-</t>
        </is>
      </c>
      <c r="X198" s="11" t="n">
        <v>91.15299999999991</v>
      </c>
      <c r="Y198" s="8" t="inlineStr">
        <is>
          <t>Pacific</t>
        </is>
      </c>
      <c r="Z198" s="8" t="inlineStr">
        <is>
          <t>Western Australia (WA)</t>
        </is>
      </c>
      <c r="AA198" s="11" t="n">
        <v>1237.10303049028</v>
      </c>
      <c r="AB198" s="8" t="inlineStr">
        <is>
          <t>BNK Banking Corp. Ltd. is a diversified financial services company. which engages in the provision of retail banking, mortgage management and mortgage broker aggregation services. It operates through the following segments: Banking and Aggregation. The Banking segment refers to the provision of banking products and services such as loans and deposits under the Goldfields Money and Better Choice Home Loans brands. The Aggregation segment, operating as Finsure, provides contracted administrative and infrastructure support to mortgage brokers. The firm also offers lending products such as owner occupier home loans, investment loans, commercial loans, personal loans, and overdrafts. The company was founded on June 1, 1982 and is headquartered in Perth, Australia.</t>
        </is>
      </c>
      <c r="AC198" s="8" t="inlineStr">
        <is>
          <t>Asia/Pacific Banks</t>
        </is>
      </c>
      <c r="AD198" s="8" t="inlineStr">
        <is>
          <t>International Banks</t>
        </is>
      </c>
      <c r="AE198" s="8" t="inlineStr">
        <is>
          <t>Banking</t>
        </is>
      </c>
      <c r="AF198" s="12" t="inlineStr">
        <is>
          <t>Australia and New Zealand Banks</t>
        </is>
      </c>
      <c r="AH198" t="n">
        <v>26175</v>
      </c>
      <c r="AI198" t="n">
        <v>1</v>
      </c>
      <c r="AJ198" t="inlineStr">
        <is>
          <t>• Target 1 (Internal emissions Net Zero) - Scope 1 emissions: Target 26,288 tCO
2eq (5% reduction</t>
        </is>
      </c>
      <c r="AK198" t="n">
        <v>3170</v>
      </c>
      <c r="AL198" t="n">
        <v>1</v>
      </c>
      <c r="AM198" t="inlineStr">
        <is>
          <t>The BNK Financial Group recognize s the importance of the impact
of financed emissions (Scope 3) through investments and loans in
addition to the greenhouse gases (Sco pe 1&amp;2) emitted directly or</t>
        </is>
      </c>
      <c r="AN198" t="n">
        <v>25880000</v>
      </c>
      <c r="AO198" t="n">
        <v>1</v>
      </c>
      <c r="AP198" t="inlineStr">
        <is>
          <t>all categories and monitor emissions.
 The total financed emissions for 2023 are 25.88 million tCO
2eq.</t>
        </is>
      </c>
      <c r="AQ198" t="n">
        <v>23</v>
      </c>
      <c r="AR198" t="n">
        <v>0.014075</v>
      </c>
      <c r="AS198" t="n">
        <v>0.252323</v>
      </c>
    </row>
    <row r="199" ht="15" customHeight="1">
      <c r="A199" s="8" t="inlineStr">
        <is>
          <t>MFG-AU</t>
        </is>
      </c>
      <c r="B199" s="8" t="inlineStr">
        <is>
          <t>Magellan Financial Group Ltd.</t>
        </is>
      </c>
      <c r="C199" s="8" t="n"/>
      <c r="D199" s="8" t="n"/>
      <c r="E199" s="8" t="n"/>
      <c r="F199" s="8" t="n"/>
      <c r="G199" s="8" t="n"/>
      <c r="H199" s="8" t="n"/>
      <c r="I199" s="8" t="n"/>
      <c r="J199" s="8" t="n"/>
      <c r="K199" s="8" t="n"/>
      <c r="L199" s="8" t="n"/>
      <c r="M199" s="8" t="n"/>
      <c r="N199" s="17" t="n"/>
      <c r="O199" s="17" t="n"/>
      <c r="P199" s="17" t="n"/>
      <c r="Q199" s="17" t="n"/>
      <c r="R199" s="10">
        <f>IFERROR(_xlfn.XLOOKUP($A199,Profitability!$A$5:$A$342,Profitability!$Q$5:$Q$342),"na")</f>
        <v/>
      </c>
      <c r="S199" s="10">
        <f>IFERROR(_xlfn.XLOOKUP($A199,Profitability!$A$5:$A$342,Profitability!$R$5:$R$342),"na")</f>
        <v/>
      </c>
      <c r="T199" s="8" t="inlineStr">
        <is>
          <t>Public</t>
        </is>
      </c>
      <c r="U199" s="8" t="inlineStr">
        <is>
          <t>Australia</t>
        </is>
      </c>
      <c r="V199" s="9" t="n">
        <v>2004</v>
      </c>
      <c r="W199" s="10" t="n">
        <v>111</v>
      </c>
      <c r="X199" s="11" t="n">
        <v>300.389999999999</v>
      </c>
      <c r="Y199" s="8" t="inlineStr">
        <is>
          <t>Pacific</t>
        </is>
      </c>
      <c r="Z199" s="8" t="inlineStr">
        <is>
          <t>New South Wales (NSW)</t>
        </is>
      </c>
      <c r="AA199" s="11" t="n">
        <v>1093.75602695727</v>
      </c>
      <c r="AB199" s="8" t="inlineStr">
        <is>
          <t>Magellan Financial Group Ltd. engages in the provision of funds management services. It operates through the following segments: Funds Management, Fund Investments, Magellan Capital Partners, and Corporate. The Funds Management segment provides investment research, administrative services, investment management, and sub-advisory services. The Fund Investments segment includes the direct investment in certain Magellan Funds and a select portfolio of listed Australian and international equities. The Magellan Capital Partners segment comprises a portfolio of selective investments in businesses in which the company has a strategic interest. The Corporate segment focuses on treasury management activities, corporate development and strategy activities, and the costs associated with governance and corporate management. The company was founded by Hamish Macquarie Douglass and Christopher John Mackay on March 19, 2004 and is headquartered in Sydney, Australia.</t>
        </is>
      </c>
      <c r="AC199" s="8" t="inlineStr">
        <is>
          <t>Asset Management and Financial Advisory Services</t>
        </is>
      </c>
      <c r="AD199" s="8" t="inlineStr">
        <is>
          <t>Investment Services</t>
        </is>
      </c>
      <c r="AE199" s="8" t="inlineStr">
        <is>
          <t>Investment Services</t>
        </is>
      </c>
      <c r="AF199" s="12" t="inlineStr">
        <is>
          <t>Diverse Asset Management and Financial Advisors</t>
        </is>
      </c>
      <c r="AR199" t="n">
        <v>0.549359</v>
      </c>
    </row>
    <row r="200" ht="15" customHeight="1">
      <c r="A200" s="8" t="inlineStr">
        <is>
          <t>SXE-AU</t>
        </is>
      </c>
      <c r="B200" s="8" t="inlineStr">
        <is>
          <t>Southern Cross Electrical Engineering Ltd.</t>
        </is>
      </c>
      <c r="C200" s="8" t="n"/>
      <c r="D200" s="8" t="n"/>
      <c r="E200" s="8" t="n"/>
      <c r="F200" s="8" t="n"/>
      <c r="G200" s="8" t="n"/>
      <c r="H200" s="8" t="n"/>
      <c r="I200" s="8" t="n"/>
      <c r="J200" s="8" t="n"/>
      <c r="K200" s="8" t="n"/>
      <c r="L200" s="8" t="n"/>
      <c r="M200" s="8" t="n"/>
      <c r="N200" s="17" t="n"/>
      <c r="O200" s="17" t="n"/>
      <c r="P200" s="17" t="n"/>
      <c r="Q200" s="17" t="n"/>
      <c r="R200" s="10">
        <f>IFERROR(_xlfn.XLOOKUP($A200,Profitability!$A$5:$A$342,Profitability!$Q$5:$Q$342),"na")</f>
        <v/>
      </c>
      <c r="S200" s="10">
        <f>IFERROR(_xlfn.XLOOKUP($A200,Profitability!$A$5:$A$342,Profitability!$R$5:$R$342),"na")</f>
        <v/>
      </c>
      <c r="T200" s="8" t="inlineStr">
        <is>
          <t>Public</t>
        </is>
      </c>
      <c r="U200" s="8" t="inlineStr">
        <is>
          <t>Australia</t>
        </is>
      </c>
      <c r="V200" s="9" t="n">
        <v>1978</v>
      </c>
      <c r="W200" s="10" t="n">
        <v>1900</v>
      </c>
      <c r="X200" s="11" t="n">
        <v>801.453999999999</v>
      </c>
      <c r="Y200" s="8" t="inlineStr">
        <is>
          <t>Pacific</t>
        </is>
      </c>
      <c r="Z200" s="8" t="inlineStr">
        <is>
          <t>Western Australia (WA)</t>
        </is>
      </c>
      <c r="AA200" s="11" t="n">
        <v>435.569010735259</v>
      </c>
      <c r="AB200" s="8" t="inlineStr">
        <is>
          <t>Southern Cross Electrical Engineering Ltd. engages in the provision of electrical, instrumentation, communication, and maintenance services. It operates through the Australia geographical segment. The company was founded by Gianfranco Tomasi in 1978 and is headquartered in Perth, Australia.</t>
        </is>
      </c>
      <c r="AC200" s="8" t="inlineStr">
        <is>
          <t>Specialty Contracting Services</t>
        </is>
      </c>
      <c r="AD200" s="8" t="inlineStr">
        <is>
          <t>Facilities and Construction Services</t>
        </is>
      </c>
      <c r="AE200" s="8" t="inlineStr">
        <is>
          <t>Industrial Services</t>
        </is>
      </c>
      <c r="AF200" s="12" t="inlineStr">
        <is>
          <t>Specialty Engineering Contractors</t>
        </is>
      </c>
      <c r="AR200" t="n">
        <v>0.039516</v>
      </c>
    </row>
    <row r="201" ht="15" customHeight="1">
      <c r="A201" s="8" t="inlineStr">
        <is>
          <t>BFG-AU</t>
        </is>
      </c>
      <c r="B201" s="8" t="inlineStr">
        <is>
          <t>Bell Financial Group Ltd.</t>
        </is>
      </c>
      <c r="C201" s="8" t="n"/>
      <c r="D201" s="8" t="n"/>
      <c r="E201" s="8" t="n"/>
      <c r="F201" s="8" t="n"/>
      <c r="G201" s="8" t="n"/>
      <c r="H201" s="8" t="n"/>
      <c r="I201" s="8" t="n"/>
      <c r="J201" s="8" t="n"/>
      <c r="K201" s="8" t="n"/>
      <c r="L201" s="8" t="n"/>
      <c r="M201" s="8" t="n"/>
      <c r="N201" s="17" t="n"/>
      <c r="O201" s="17" t="n"/>
      <c r="P201" s="17" t="n"/>
      <c r="Q201" s="17" t="n"/>
      <c r="R201" s="10">
        <f>IFERROR(_xlfn.XLOOKUP($A201,Profitability!$A$5:$A$342,Profitability!$Q$5:$Q$342),"na")</f>
        <v/>
      </c>
      <c r="S201" s="10">
        <f>IFERROR(_xlfn.XLOOKUP($A201,Profitability!$A$5:$A$342,Profitability!$R$5:$R$342),"na")</f>
        <v/>
      </c>
      <c r="T201" s="8" t="inlineStr">
        <is>
          <t>Public</t>
        </is>
      </c>
      <c r="U201" s="8" t="inlineStr">
        <is>
          <t>Australia</t>
        </is>
      </c>
      <c r="V201" s="9" t="n">
        <v>1998</v>
      </c>
      <c r="W201" s="10" t="n">
        <v>719</v>
      </c>
      <c r="X201" s="11" t="n">
        <v>278.984999999999</v>
      </c>
      <c r="Y201" s="8" t="inlineStr">
        <is>
          <t>Pacific</t>
        </is>
      </c>
      <c r="Z201" s="8" t="inlineStr">
        <is>
          <t>Victoria (VIC)</t>
        </is>
      </c>
      <c r="AA201" s="11" t="n">
        <v>1053.96496730784</v>
      </c>
      <c r="AB201" s="8" t="inlineStr">
        <is>
          <t>Bell Financial Group Ltd. engages in the provision of stockbroking, investment, and financial advisory services. It operates through the following segments: Technology and Platforms; Products and Services; Retail; and Institutional. The Technology and Platforms segment includes proprietary technology and platforms including online broking. The Products and Services segment focuses on margin lending, cash, portfolio administration, and superannuation solutions products and services. The Retail segment is involved in traditional retail client broking. The Institutional segment offers traditional wholesale client broking. The company was founded by Colin Morton Bell in 1970 and is headquartered in Melbourne, Australia.</t>
        </is>
      </c>
      <c r="AC201" s="8" t="inlineStr">
        <is>
          <t>Securities Sales and Trading Services</t>
        </is>
      </c>
      <c r="AD201" s="8" t="inlineStr">
        <is>
          <t>Investment Services</t>
        </is>
      </c>
      <c r="AE201" s="8" t="inlineStr">
        <is>
          <t>Investment Services</t>
        </is>
      </c>
      <c r="AF201" s="12" t="inlineStr">
        <is>
          <t>Brokerage Services</t>
        </is>
      </c>
      <c r="AR201" t="n">
        <v>0.110189</v>
      </c>
    </row>
    <row r="202" ht="15" customHeight="1">
      <c r="A202" s="8" t="inlineStr">
        <is>
          <t>BGL-AU</t>
        </is>
      </c>
      <c r="B202" s="8" t="inlineStr">
        <is>
          <t>Bellevue Gold Ltd.</t>
        </is>
      </c>
      <c r="C202" s="8" t="n"/>
      <c r="D202" s="8" t="n"/>
      <c r="E202" s="8" t="n"/>
      <c r="F202" s="8" t="n"/>
      <c r="G202" s="8" t="n"/>
      <c r="H202" s="8" t="n"/>
      <c r="I202" s="8" t="n"/>
      <c r="J202" s="8" t="n"/>
      <c r="K202" s="8" t="n"/>
      <c r="L202" s="8" t="n"/>
      <c r="M202" s="8" t="n"/>
      <c r="N202" s="17" t="n"/>
      <c r="O202" s="17" t="n"/>
      <c r="P202" s="10" t="n">
        <v>61322</v>
      </c>
      <c r="Q202" s="17" t="n">
        <v>32</v>
      </c>
      <c r="R202" s="10">
        <f>IFERROR(_xlfn.XLOOKUP($A202,Profitability!$A$5:$A$342,Profitability!$Q$5:$Q$342),"na")</f>
        <v/>
      </c>
      <c r="S202" s="10">
        <f>IFERROR(_xlfn.XLOOKUP($A202,Profitability!$A$5:$A$342,Profitability!$R$5:$R$342),"na")</f>
        <v/>
      </c>
      <c r="T202" s="8" t="inlineStr">
        <is>
          <t>Public</t>
        </is>
      </c>
      <c r="U202" s="8" t="inlineStr">
        <is>
          <t>Australia</t>
        </is>
      </c>
      <c r="V202" s="9" t="n">
        <v>2004</v>
      </c>
      <c r="W202" s="10" t="n">
        <v>230</v>
      </c>
      <c r="X202" s="11" t="n">
        <v>505.836999999999</v>
      </c>
      <c r="Y202" s="8" t="inlineStr">
        <is>
          <t>Pacific</t>
        </is>
      </c>
      <c r="Z202" s="8" t="inlineStr">
        <is>
          <t>Western Australia (WA)</t>
        </is>
      </c>
      <c r="AA202" s="11" t="n">
        <v>1445.54603562767</v>
      </c>
      <c r="AB202" s="8" t="inlineStr">
        <is>
          <t>Bellevue Gold Ltd. engages in the exploration and evaluation of minerals and mine development in Australia. Its projects include Bellevue Gold, and other regional exploration and evaluation activities within Western Australia. The company was founded on October 11, 2004 and is headquartered in West Perth, Australia.</t>
        </is>
      </c>
      <c r="AC202" s="8" t="inlineStr">
        <is>
          <t>Precious Metal Mining</t>
        </is>
      </c>
      <c r="AD202" s="8" t="inlineStr">
        <is>
          <t>Metal Ore Mining</t>
        </is>
      </c>
      <c r="AE202" s="8" t="inlineStr">
        <is>
          <t>Mining and Mineral Products</t>
        </is>
      </c>
      <c r="AF202" s="12" t="inlineStr">
        <is>
          <t>Asia/Pacific Gold Mining</t>
        </is>
      </c>
      <c r="AR202" t="n">
        <v>-0.09071899999999999</v>
      </c>
    </row>
    <row r="203" ht="15" customHeight="1">
      <c r="A203" s="8" t="inlineStr">
        <is>
          <t>HUB-AU</t>
        </is>
      </c>
      <c r="B203" s="8" t="inlineStr">
        <is>
          <t>HUB24 Ltd.</t>
        </is>
      </c>
      <c r="C203" s="8" t="n"/>
      <c r="D203" s="8" t="n"/>
      <c r="E203" s="8" t="n"/>
      <c r="F203" s="8" t="n"/>
      <c r="G203" s="8" t="n"/>
      <c r="H203" s="8" t="n"/>
      <c r="I203" s="8" t="n"/>
      <c r="J203" s="8" t="n"/>
      <c r="K203" s="8" t="n"/>
      <c r="L203" s="8" t="n"/>
      <c r="M203" s="8" t="n"/>
      <c r="N203" s="17" t="n"/>
      <c r="O203" s="17" t="n"/>
      <c r="P203" s="17" t="n"/>
      <c r="Q203" s="17" t="n"/>
      <c r="R203" s="10">
        <f>IFERROR(_xlfn.XLOOKUP($A203,Profitability!$A$5:$A$342,Profitability!$Q$5:$Q$342),"na")</f>
        <v/>
      </c>
      <c r="S203" s="10">
        <f>IFERROR(_xlfn.XLOOKUP($A203,Profitability!$A$5:$A$342,Profitability!$R$5:$R$342),"na")</f>
        <v/>
      </c>
      <c r="T203" s="8" t="inlineStr">
        <is>
          <t>Public</t>
        </is>
      </c>
      <c r="U203" s="8" t="inlineStr">
        <is>
          <t>Australia</t>
        </is>
      </c>
      <c r="V203" s="9" t="n">
        <v>2007</v>
      </c>
      <c r="W203" s="10" t="n">
        <v>962</v>
      </c>
      <c r="X203" s="11" t="n">
        <v>406.572999999999</v>
      </c>
      <c r="Y203" s="8" t="inlineStr">
        <is>
          <t>Pacific</t>
        </is>
      </c>
      <c r="Z203" s="8" t="inlineStr">
        <is>
          <t>New South Wales (NSW)</t>
        </is>
      </c>
      <c r="AA203" s="11" t="n">
        <v>690.483017018003</v>
      </c>
      <c r="AB203" s="8" t="inlineStr">
        <is>
          <t>HUB24 Ltd. engages in the provision of investment and superannuation portfolio administration and licensee services. It operates through the following segments: Platform, Tech Solutions, and Corporate. The Platform segment develops and provides investment and superannuation platform services to financial advisers, stockbrokers and accountants, and its clients. The Tech Solutions segment comprises of Class and HUBconnect. The Corporate segment includes property, strategy, finance, risk and compliance, legal, human resources, and other corporate services. The company was founded on April 13, 2007 and is headquartered in Sydney, Australia.</t>
        </is>
      </c>
      <c r="AC203" s="8" t="inlineStr">
        <is>
          <t>Finance Software and Services</t>
        </is>
      </c>
      <c r="AD203" s="8" t="inlineStr">
        <is>
          <t>Finance Software and Services</t>
        </is>
      </c>
      <c r="AE203" s="8" t="inlineStr">
        <is>
          <t>Specialty Finance and Services</t>
        </is>
      </c>
      <c r="AF203" s="12" t="inlineStr">
        <is>
          <t>Finance Industry Software</t>
        </is>
      </c>
      <c r="AH203" t="n">
        <v>1</v>
      </c>
      <c r="AI203" t="n">
        <v>1</v>
      </c>
      <c r="AJ203" t="inlineStr">
        <is>
          <t>Demonstrated progress on,with ISO 27001
scope 1 and 2 emission,Increased employee engagement to
reduction. Opted into,</t>
        </is>
      </c>
      <c r="AK203" t="n">
        <v>161</v>
      </c>
      <c r="AL203" t="n">
        <v>1</v>
      </c>
      <c r="AM203" t="inlineStr">
        <is>
          <t>Scope,Emissions Source,FY25,FY24,FY23,(Baseline)
1,Refrigerants,0.66,2.16,2.35,2.35
2,Location-based,257.56,250.82,290.76,253.10</t>
        </is>
      </c>
      <c r="AN203" t="n">
        <v>10484</v>
      </c>
      <c r="AO203" t="n">
        <v>1</v>
      </c>
      <c r="AP203" t="inlineStr">
        <is>
          <t>,Category 15 - Investments,217.38,329.36,235.00,221.81
Total - (Scope 3),Location-based,"10,506.37","8,434.18","7,272.83","5,107.64"
Total - (Scope 3),Market-based,"10,483.74","8,409.20","7,272.83","5,107.64"</t>
        </is>
      </c>
      <c r="AQ203" t="n">
        <v>4</v>
      </c>
      <c r="AR203" t="n">
        <v>0.1955</v>
      </c>
      <c r="AS203" t="n">
        <v>0.009838</v>
      </c>
    </row>
    <row r="204" ht="15" customHeight="1">
      <c r="A204" s="8" t="inlineStr">
        <is>
          <t>BEN-AU</t>
        </is>
      </c>
      <c r="B204" s="8" t="inlineStr">
        <is>
          <t>Bendigo &amp; Adelaide Bank Ltd.</t>
        </is>
      </c>
      <c r="C204" s="8" t="n"/>
      <c r="D204" s="8" t="n"/>
      <c r="E204" s="8" t="n"/>
      <c r="F204" s="8" t="n"/>
      <c r="G204" s="8" t="n"/>
      <c r="H204" s="8" t="n"/>
      <c r="I204" s="8" t="n"/>
      <c r="J204" s="8" t="n"/>
      <c r="K204" s="8" t="n"/>
      <c r="L204" s="8" t="n"/>
      <c r="M204" s="8" t="n"/>
      <c r="N204" s="17" t="n"/>
      <c r="O204" s="17" t="n"/>
      <c r="P204" s="17" t="n"/>
      <c r="Q204" s="17" t="n"/>
      <c r="R204" s="10">
        <f>IFERROR(_xlfn.XLOOKUP($A204,Profitability!$A$5:$A$342,Profitability!$Q$5:$Q$342),"na")</f>
        <v/>
      </c>
      <c r="S204" s="10">
        <f>IFERROR(_xlfn.XLOOKUP($A204,Profitability!$A$5:$A$342,Profitability!$R$5:$R$342),"na")</f>
        <v/>
      </c>
      <c r="T204" s="8" t="inlineStr">
        <is>
          <t>Public</t>
        </is>
      </c>
      <c r="U204" s="8" t="inlineStr">
        <is>
          <t>Australia</t>
        </is>
      </c>
      <c r="V204" s="9" t="n">
        <v>1858</v>
      </c>
      <c r="W204" s="10" t="n">
        <v>4762</v>
      </c>
      <c r="X204" s="11" t="n">
        <v>5241.49999999999</v>
      </c>
      <c r="Y204" s="8" t="inlineStr">
        <is>
          <t>Pacific</t>
        </is>
      </c>
      <c r="Z204" s="8" t="inlineStr">
        <is>
          <t>Victoria (VIC)</t>
        </is>
      </c>
      <c r="AA204" s="11" t="n">
        <v>103218.902543986</v>
      </c>
      <c r="AB204" s="8" t="inlineStr">
        <is>
          <t>Bendigo &amp; Adelaide Bank Ltd. engages in banking and financial services including consumer, residential, business, rural and commercial lending, deposit-taking, payments and foreign exchange services, wealth management, margin lending, superannuation, and treasury. It operates through the following segments: Consumer, Business and Agribusiness, and Corporate. The Consumer segment focuses on engaging with and servicing consumer customers and includes the branch network, digital bank, mobile relationship managers, third party banking channels, wealth services, cards and payments, Homesafe, and customer support functions. The Business and Agribusiness segment is involved in servicing business customers and includes business banking, portfolio funding, and agribusiness. The Corporate segment represents the support functions including treasury, technology, property services, strategy, finance, risk, compliance, legal, human resources, and investor relations. The company was founded on July 9, 1858 and is headquartered in Bendigo, Australia.</t>
        </is>
      </c>
      <c r="AC204" s="8" t="inlineStr">
        <is>
          <t>Asia/Pacific Banks</t>
        </is>
      </c>
      <c r="AD204" s="8" t="inlineStr">
        <is>
          <t>International Banks</t>
        </is>
      </c>
      <c r="AE204" s="8" t="inlineStr">
        <is>
          <t>Banking</t>
        </is>
      </c>
      <c r="AF204" s="12" t="inlineStr">
        <is>
          <t>Australia and New Zealand Banks</t>
        </is>
      </c>
      <c r="AR204" t="n">
        <v>-0.018525</v>
      </c>
    </row>
    <row r="205" ht="15" customHeight="1">
      <c r="A205" s="8" t="inlineStr">
        <is>
          <t>CMM-AU</t>
        </is>
      </c>
      <c r="B205" s="8" t="inlineStr">
        <is>
          <t>Capricorn Metals Ltd.</t>
        </is>
      </c>
      <c r="C205" s="8" t="n"/>
      <c r="D205" s="8" t="n"/>
      <c r="E205" s="8" t="n"/>
      <c r="F205" s="8" t="n"/>
      <c r="G205" s="8" t="n"/>
      <c r="H205" s="8" t="n"/>
      <c r="I205" s="8" t="n"/>
      <c r="J205" s="8" t="n"/>
      <c r="K205" s="8" t="n"/>
      <c r="L205" s="8" t="n"/>
      <c r="M205" s="8" t="n"/>
      <c r="N205" s="17" t="n"/>
      <c r="O205" s="17" t="n"/>
      <c r="P205" s="10" t="n">
        <v>89857</v>
      </c>
      <c r="Q205" s="17" t="n">
        <v>13</v>
      </c>
      <c r="R205" s="10">
        <f>IFERROR(_xlfn.XLOOKUP($A205,Profitability!$A$5:$A$342,Profitability!$Q$5:$Q$342),"na")</f>
        <v/>
      </c>
      <c r="S205" s="10">
        <f>IFERROR(_xlfn.XLOOKUP($A205,Profitability!$A$5:$A$342,Profitability!$R$5:$R$342),"na")</f>
        <v/>
      </c>
      <c r="T205" s="8" t="inlineStr">
        <is>
          <t>Public</t>
        </is>
      </c>
      <c r="U205" s="8" t="inlineStr">
        <is>
          <t>Australia</t>
        </is>
      </c>
      <c r="V205" s="9" t="n">
        <v>2006</v>
      </c>
      <c r="W205" s="10" t="n">
        <v>155</v>
      </c>
      <c r="X205" s="11" t="n">
        <v>505.892</v>
      </c>
      <c r="Y205" s="8" t="inlineStr">
        <is>
          <t>Pacific</t>
        </is>
      </c>
      <c r="Z205" s="8" t="inlineStr">
        <is>
          <t>Western Australia (WA)</t>
        </is>
      </c>
      <c r="AA205" s="11" t="n">
        <v>1071.49202640854</v>
      </c>
      <c r="AB205" s="8" t="inlineStr">
        <is>
          <t>Capricorn Metals Ltd. engages in the mineral and gold exploration, development, and project evaluation. It operates through the Karlawinda and Mt Gibson segments. The company was founded on September 22, 2006 and is headquartered in West Perth, Australia.</t>
        </is>
      </c>
      <c r="AC205" s="8" t="inlineStr">
        <is>
          <t>Precious Metal Mining</t>
        </is>
      </c>
      <c r="AD205" s="8" t="inlineStr">
        <is>
          <t>Metal Ore Mining</t>
        </is>
      </c>
      <c r="AE205" s="8" t="inlineStr">
        <is>
          <t>Mining and Mineral Products</t>
        </is>
      </c>
      <c r="AF205" s="12" t="inlineStr">
        <is>
          <t>Asia/Pacific Gold Mining</t>
        </is>
      </c>
      <c r="AR205" t="n">
        <v>0.297054</v>
      </c>
    </row>
    <row r="206" ht="15" customHeight="1">
      <c r="A206" s="8" t="inlineStr">
        <is>
          <t>PGC-AU</t>
        </is>
      </c>
      <c r="B206" s="8" t="inlineStr">
        <is>
          <t>Paragon Care Ltd.</t>
        </is>
      </c>
      <c r="C206" s="8" t="n"/>
      <c r="D206" s="8" t="n"/>
      <c r="E206" s="8" t="n"/>
      <c r="F206" s="8" t="n"/>
      <c r="G206" s="8" t="n"/>
      <c r="H206" s="8" t="n"/>
      <c r="I206" s="8" t="n"/>
      <c r="J206" s="8" t="n"/>
      <c r="K206" s="8" t="n"/>
      <c r="L206" s="8" t="n"/>
      <c r="M206" s="8" t="n"/>
      <c r="N206" s="17" t="n"/>
      <c r="O206" s="17" t="n"/>
      <c r="P206" s="17" t="n"/>
      <c r="Q206" s="17" t="n"/>
      <c r="R206" s="10">
        <f>IFERROR(_xlfn.XLOOKUP($A206,Profitability!$A$5:$A$342,Profitability!$Q$5:$Q$342),"na")</f>
        <v/>
      </c>
      <c r="S206" s="10">
        <f>IFERROR(_xlfn.XLOOKUP($A206,Profitability!$A$5:$A$342,Profitability!$R$5:$R$342),"na")</f>
        <v/>
      </c>
      <c r="T206" s="8" t="inlineStr">
        <is>
          <t>Public</t>
        </is>
      </c>
      <c r="U206" s="8" t="inlineStr">
        <is>
          <t>Australia</t>
        </is>
      </c>
      <c r="V206" s="9" t="n">
        <v>1994</v>
      </c>
      <c r="W206" s="10" t="inlineStr">
        <is>
          <t>-</t>
        </is>
      </c>
      <c r="X206" s="11" t="n">
        <v>3613.88699999999</v>
      </c>
      <c r="Y206" s="8" t="inlineStr">
        <is>
          <t>Pacific</t>
        </is>
      </c>
      <c r="Z206" s="8" t="inlineStr">
        <is>
          <t>Victoria (VIC)</t>
        </is>
      </c>
      <c r="AA206" s="11" t="n">
        <v>1234.04703041496</v>
      </c>
      <c r="AB206" s="8" t="inlineStr">
        <is>
          <t>Paragon Care Ltd. engages in supplying medical equipment to the health and aged care markets. It operates through the following segments: Diagnostic and Scientific, Devices, Capital and Consumables, and Service and Technology. The Diagnostic and Scientific segment is involved in blood bank diagnostics manufacturer, clinical pathology diagnostics distribution, and scientific and research and development laboratory equipment distribution. The Devices segment focuses on ophthalmology and optometry, orthopedics, pain management, infection prevention, and OrthoBiologics. The Capital and Consumables segment offers medical, surgical, and veterinary services. The Service and Technology segment refers to offering biomedical devices to capital equipment, service support and technology management, and service partnership brands. The company was founded in 1994 and is headquartered in Mt. Waverley, Australia.</t>
        </is>
      </c>
      <c r="AC206" s="8" t="inlineStr">
        <is>
          <t>Healthcare Distributors</t>
        </is>
      </c>
      <c r="AD206" s="8" t="inlineStr">
        <is>
          <t>Healthcare Support Services</t>
        </is>
      </c>
      <c r="AE206" s="8" t="inlineStr">
        <is>
          <t>Healthcare Services</t>
        </is>
      </c>
      <c r="AF206" s="12" t="inlineStr">
        <is>
          <t>Diversified Healthcare Distributors</t>
        </is>
      </c>
      <c r="AR206" t="n">
        <v>0.005693</v>
      </c>
    </row>
    <row r="207" ht="15" customHeight="1">
      <c r="A207" s="8" t="inlineStr">
        <is>
          <t>WAF-AU</t>
        </is>
      </c>
      <c r="B207" s="8" t="inlineStr">
        <is>
          <t>West African Resources Ltd.</t>
        </is>
      </c>
      <c r="C207" s="8" t="n"/>
      <c r="D207" s="8" t="n"/>
      <c r="E207" s="8" t="n"/>
      <c r="F207" s="8" t="n"/>
      <c r="G207" s="8" t="n"/>
      <c r="H207" s="8" t="n"/>
      <c r="I207" s="8" t="n"/>
      <c r="J207" s="8" t="n"/>
      <c r="K207" s="8" t="n"/>
      <c r="L207" s="8" t="n"/>
      <c r="M207" s="8" t="n"/>
      <c r="N207" s="17" t="n"/>
      <c r="O207" s="17" t="n"/>
      <c r="P207" s="17" t="n"/>
      <c r="Q207" s="17" t="n"/>
      <c r="R207" s="10">
        <f>IFERROR(_xlfn.XLOOKUP($A207,Profitability!$A$5:$A$342,Profitability!$Q$5:$Q$342),"na")</f>
        <v/>
      </c>
      <c r="S207" s="10">
        <f>IFERROR(_xlfn.XLOOKUP($A207,Profitability!$A$5:$A$342,Profitability!$R$5:$R$342),"na")</f>
        <v/>
      </c>
      <c r="T207" s="8" t="inlineStr">
        <is>
          <t>Public</t>
        </is>
      </c>
      <c r="U207" s="8" t="inlineStr">
        <is>
          <t>Australia</t>
        </is>
      </c>
      <c r="V207" s="9" t="n">
        <v>2006</v>
      </c>
      <c r="W207" s="10" t="inlineStr">
        <is>
          <t>-</t>
        </is>
      </c>
      <c r="X207" s="11" t="n">
        <v>724.3680000000001</v>
      </c>
      <c r="Y207" s="8" t="inlineStr">
        <is>
          <t>Pacific</t>
        </is>
      </c>
      <c r="Z207" s="8" t="inlineStr">
        <is>
          <t>Western Australia (WA)</t>
        </is>
      </c>
      <c r="AA207" s="11" t="n">
        <v>1974.29993876065</v>
      </c>
      <c r="AB207" s="8" t="inlineStr">
        <is>
          <t>West African Resources Ltd. engages in the exploration and development of mineral properties. It operates through the Mining Operations, and Exploration and Evaluation segments. The Mining Operations segment is involved in the operations of Sanbrado gold project. The Exploration and Evaluation segment relates to the exploration and evaluation activities other than Sanbrado. The company was founded by Richard Hyde on September 1, 2006 and is headquartered in Subiaco, Australia.</t>
        </is>
      </c>
      <c r="AC207" s="8" t="inlineStr">
        <is>
          <t>Precious Metal Mining</t>
        </is>
      </c>
      <c r="AD207" s="8" t="inlineStr">
        <is>
          <t>Metal Ore Mining</t>
        </is>
      </c>
      <c r="AE207" s="8" t="inlineStr">
        <is>
          <t>Mining and Mineral Products</t>
        </is>
      </c>
      <c r="AF207" s="12" t="inlineStr">
        <is>
          <t>Other Gold Mining</t>
        </is>
      </c>
      <c r="AH207" t="n">
        <v>168660</v>
      </c>
      <c r="AI207" t="n">
        <v>1</v>
      </c>
      <c r="AJ207" t="inlineStr">
        <is>
          <t>+",
,Emissions intensity - Scope 1 only (t CO2e/oz),0.82,0.57,0.53,,
,,,,,related Financial Information [for which disclosure is,</t>
        </is>
      </c>
      <c r="AK207" t="n">
        <v>133</v>
      </c>
      <c r="AL207" t="n">
        <v>1</v>
      </c>
      <c r="AM207" t="inlineStr">
        <is>
          <t>both internally and to an external party.,,
,Scope 2 GHG emissions (location based) – all sites,132.8 tCO2-eq
,Total Energy Consumption – all sites,"1,693,215 GJ"</t>
        </is>
      </c>
      <c r="AN207" t="n">
        <v>207946</v>
      </c>
      <c r="AO207" t="n">
        <v>1</v>
      </c>
      <c r="AP207" t="inlineStr">
        <is>
          <t>,,,,,,alignment with AASB S2 and a path forward for meeting the
,Scope 3 emissions (t CO2e),"207,946","128,540",-,,
"GHG</t>
        </is>
      </c>
      <c r="AQ207" t="n">
        <v>0</v>
      </c>
      <c r="AR207" t="n">
        <v>0.30902</v>
      </c>
      <c r="AS207" t="n">
        <v>0</v>
      </c>
    </row>
    <row r="208" ht="15" customHeight="1">
      <c r="A208" s="8" t="inlineStr">
        <is>
          <t>MYE-AU</t>
        </is>
      </c>
      <c r="B208" s="8" t="inlineStr">
        <is>
          <t>Mastermyne Group Ltd.</t>
        </is>
      </c>
      <c r="C208" s="8" t="n"/>
      <c r="D208" s="8" t="n"/>
      <c r="E208" s="8" t="n"/>
      <c r="F208" s="8" t="n"/>
      <c r="G208" s="8" t="n"/>
      <c r="H208" s="8" t="n"/>
      <c r="I208" s="8" t="n"/>
      <c r="J208" s="8" t="n"/>
      <c r="K208" s="8" t="n"/>
      <c r="L208" s="8" t="n"/>
      <c r="M208" s="8" t="n"/>
      <c r="N208" s="17" t="n"/>
      <c r="O208" s="17" t="n"/>
      <c r="P208" s="17" t="n"/>
      <c r="Q208" s="17" t="n"/>
      <c r="R208" s="10">
        <f>IFERROR(_xlfn.XLOOKUP($A208,Profitability!$A$5:$A$342,Profitability!$Q$5:$Q$342),"na")</f>
        <v/>
      </c>
      <c r="S208" s="10">
        <f>IFERROR(_xlfn.XLOOKUP($A208,Profitability!$A$5:$A$342,Profitability!$R$5:$R$342),"na")</f>
        <v/>
      </c>
      <c r="T208" s="8" t="inlineStr">
        <is>
          <t>Public</t>
        </is>
      </c>
      <c r="U208" s="8" t="inlineStr">
        <is>
          <t>Australia</t>
        </is>
      </c>
      <c r="V208" s="9" t="n">
        <v>2010</v>
      </c>
      <c r="W208" s="10" t="n">
        <v>640</v>
      </c>
      <c r="X208" s="11" t="n">
        <v>213.821</v>
      </c>
      <c r="Y208" s="8" t="inlineStr">
        <is>
          <t>Pacific</t>
        </is>
      </c>
      <c r="Z208" s="8" t="inlineStr">
        <is>
          <t>Queensland (QLD)</t>
        </is>
      </c>
      <c r="AA208" s="11" t="n">
        <v>109.38300269591</v>
      </c>
      <c r="AB208" s="8" t="inlineStr">
        <is>
          <t>Mastermyne Group Ltd. engages in the provision of contracting services to the mining sector. It operates through the Mastermyne and Mastertec business segments. The Mastermyne segment provides project management, labor and equipment hire, underground conveyor installation, extension and maintenance, underground roadway development, underground ventilation device installation, bulk materials handling system installation and relocation and underground mine support services. The Mastertec segment integrates the services acquired through diversified mining services; provides above-ground contracting services; and offers scaffolding and rigging, blast and paint, pipeline services, sustainable capital works, fabrication and machining, training and engineering and technical services. The company was founded by Darren William Hamblin and Andrew Dominic Watts in 1996 and is headquartered in Mackay, Australia.</t>
        </is>
      </c>
      <c r="AC208" s="8" t="inlineStr">
        <is>
          <t>Specialty Contracting Services</t>
        </is>
      </c>
      <c r="AD208" s="8" t="inlineStr">
        <is>
          <t>Facilities and Construction Services</t>
        </is>
      </c>
      <c r="AE208" s="8" t="inlineStr">
        <is>
          <t>Industrial Services</t>
        </is>
      </c>
      <c r="AF208" s="12" t="inlineStr">
        <is>
          <t>Industrial Specialty Engineering Contractors</t>
        </is>
      </c>
      <c r="AR208" t="n">
        <v>0.007815000000000001</v>
      </c>
    </row>
    <row r="209" ht="15" customHeight="1">
      <c r="A209" s="8" t="inlineStr">
        <is>
          <t>ELD-AU</t>
        </is>
      </c>
      <c r="B209" s="8" t="inlineStr">
        <is>
          <t>Elders Ltd.</t>
        </is>
      </c>
      <c r="C209" s="8" t="n"/>
      <c r="D209" s="8" t="n"/>
      <c r="E209" s="8" t="n"/>
      <c r="F209" s="8" t="n"/>
      <c r="G209" s="8" t="n"/>
      <c r="H209" s="8" t="n"/>
      <c r="I209" s="8" t="n"/>
      <c r="J209" s="8" t="n"/>
      <c r="K209" s="8" t="n"/>
      <c r="L209" s="8" t="n"/>
      <c r="M209" s="8" t="n"/>
      <c r="N209" s="17" t="n"/>
      <c r="O209" s="17" t="n"/>
      <c r="P209" s="17" t="n"/>
      <c r="Q209" s="17" t="n"/>
      <c r="R209" s="10">
        <f>IFERROR(_xlfn.XLOOKUP($A209,Profitability!$A$5:$A$342,Profitability!$Q$5:$Q$342),"na")</f>
        <v/>
      </c>
      <c r="S209" s="10">
        <f>IFERROR(_xlfn.XLOOKUP($A209,Profitability!$A$5:$A$342,Profitability!$R$5:$R$342),"na")</f>
        <v/>
      </c>
      <c r="T209" s="8" t="inlineStr">
        <is>
          <t>Public</t>
        </is>
      </c>
      <c r="U209" s="8" t="inlineStr">
        <is>
          <t>Australia</t>
        </is>
      </c>
      <c r="V209" s="9" t="n">
        <v>1955</v>
      </c>
      <c r="W209" s="10" t="inlineStr">
        <is>
          <t>-</t>
        </is>
      </c>
      <c r="X209" s="11" t="n">
        <v>3131.28999999999</v>
      </c>
      <c r="Y209" s="8" t="inlineStr">
        <is>
          <t>Pacific</t>
        </is>
      </c>
      <c r="Z209" s="8" t="inlineStr">
        <is>
          <t>South Australia (SA)</t>
        </is>
      </c>
      <c r="AA209" s="11" t="n">
        <v>2326.46403986706</v>
      </c>
      <c r="AB209" s="8" t="inlineStr">
        <is>
          <t>Elders Ltd. is engaged in providing financial, real estate services to rural, agricultural and automotive businesses. The firm operates its business through the following segments: Branch Network, Wholesale Products, Feed and Processing Services, and Corporate Services and Other. The Branch Network segment includes the provision of a range of agricultural products and services through a common distribution channel. The Wholesale Products segment comprises of the AIRR business based in Shepparton, Victoria, supported by a network of eight warehouses to supply independent retail stores throughout Australia. The Feed and Processing Services segment focuses on Killara feedlot, a beef cattle feedlot near Tamworth in New South Wales. The Corporate Services and Other segment provides general investment activities not associated with the other business segments and the administrative corporate office activities. The company was founded by Alexander Lang Elder in 1839 and is headquartered in Adelaide, Australia.</t>
        </is>
      </c>
      <c r="AC209" s="8" t="inlineStr">
        <is>
          <t>Agricultural Support Activity Providers</t>
        </is>
      </c>
      <c r="AD209" s="8" t="inlineStr">
        <is>
          <t>Agriculture</t>
        </is>
      </c>
      <c r="AE209" s="8" t="inlineStr">
        <is>
          <t>Food and Tobacco Production</t>
        </is>
      </c>
      <c r="AF209" s="12" t="inlineStr">
        <is>
          <t>Other Agricultural Support Activity Providers</t>
        </is>
      </c>
      <c r="AH209" t="n">
        <v>57210</v>
      </c>
      <c r="AI209" t="n">
        <v>1</v>
      </c>
      <c r="AJ209" t="inlineStr">
        <is>
          <t>Total Scope 1 emissions – 57,210 tCO2-e</t>
        </is>
      </c>
      <c r="AK209" t="n">
        <v>0</v>
      </c>
      <c r="AL209" t="n">
        <v>1</v>
      </c>
      <c r="AM209" t="inlineStr">
        <is>
          <t>Total Scope 2 emissions (location-based) – 5,840 tCO2-e</t>
        </is>
      </c>
      <c r="AN209" t="n">
        <v>2047</v>
      </c>
      <c r="AO209" t="n">
        <v>1</v>
      </c>
      <c r="AP209" t="inlineStr">
        <is>
          <t>generated 1,795 tCO2e for flights and 252 tCO2e for hotel stays</t>
        </is>
      </c>
      <c r="AQ209" t="n">
        <v>7</v>
      </c>
      <c r="AR209" t="n">
        <v>0.014397</v>
      </c>
      <c r="AS209" t="n">
        <v>0.002236</v>
      </c>
    </row>
    <row r="210" ht="15" customHeight="1">
      <c r="A210" s="8" t="inlineStr">
        <is>
          <t>GOZ-AU</t>
        </is>
      </c>
      <c r="B210" s="8" t="inlineStr">
        <is>
          <t>Growthpoint Properties Australia</t>
        </is>
      </c>
      <c r="C210" s="8" t="n"/>
      <c r="D210" s="8" t="n"/>
      <c r="E210" s="8" t="n"/>
      <c r="F210" s="8" t="n"/>
      <c r="G210" s="8" t="n"/>
      <c r="H210" s="8" t="n"/>
      <c r="I210" s="8" t="n"/>
      <c r="J210" s="8" t="n"/>
      <c r="K210" s="8" t="n"/>
      <c r="L210" s="8" t="n"/>
      <c r="M210" s="8" t="n"/>
      <c r="N210" s="17" t="n"/>
      <c r="O210" s="17" t="n"/>
      <c r="P210" s="17" t="n"/>
      <c r="Q210" s="17" t="n"/>
      <c r="R210" s="10">
        <f>IFERROR(_xlfn.XLOOKUP($A210,Profitability!$A$5:$A$342,Profitability!$Q$5:$Q$342),"na")</f>
        <v/>
      </c>
      <c r="S210" s="10">
        <f>IFERROR(_xlfn.XLOOKUP($A210,Profitability!$A$5:$A$342,Profitability!$R$5:$R$342),"na")</f>
        <v/>
      </c>
      <c r="T210" s="8" t="inlineStr">
        <is>
          <t>Public</t>
        </is>
      </c>
      <c r="U210" s="8" t="inlineStr">
        <is>
          <t>Australia</t>
        </is>
      </c>
      <c r="V210" s="9" t="n">
        <v>2007</v>
      </c>
      <c r="W210" s="10" t="inlineStr">
        <is>
          <t>-</t>
        </is>
      </c>
      <c r="X210" s="11" t="n">
        <v>331.3</v>
      </c>
      <c r="Y210" s="8" t="inlineStr">
        <is>
          <t>Pacific</t>
        </is>
      </c>
      <c r="Z210" s="8" t="inlineStr">
        <is>
          <t>Victoria (VIC)</t>
        </is>
      </c>
      <c r="AA210" s="11" t="n">
        <v>4325.20010660112</v>
      </c>
      <c r="AB210" s="8" t="inlineStr">
        <is>
          <t>Growthpoint Properties Australia operates as a real estate investment company with a mandate to invest in Australian real property in the industrial, office and retail sectors. It's objective is to provide investors with a tradable security producing consistently growing income returns and long-term capital appreciation. It operates through the industrial and Office segments. The company was founded on February 22, 2007 and is headquartered in Melbourne, Australia.</t>
        </is>
      </c>
      <c r="AC210" s="8" t="inlineStr">
        <is>
          <t>Equity REITs</t>
        </is>
      </c>
      <c r="AD210" s="8" t="inlineStr">
        <is>
          <t>Real Estate Investment Trusts (REITs)</t>
        </is>
      </c>
      <c r="AE210" s="8" t="inlineStr">
        <is>
          <t>Real Estate</t>
        </is>
      </c>
      <c r="AF210" s="12" t="inlineStr">
        <is>
          <t>Equity REITs</t>
        </is>
      </c>
      <c r="AR210" t="n">
        <v>-0.376094</v>
      </c>
    </row>
    <row r="211" ht="15" customHeight="1">
      <c r="A211" s="8" t="inlineStr">
        <is>
          <t>MYS-AU</t>
        </is>
      </c>
      <c r="B211" s="8" t="inlineStr">
        <is>
          <t>MyState Ltd.</t>
        </is>
      </c>
      <c r="C211" s="8" t="n"/>
      <c r="D211" s="8" t="n"/>
      <c r="E211" s="8" t="n"/>
      <c r="F211" s="8" t="n"/>
      <c r="G211" s="8" t="n"/>
      <c r="H211" s="8" t="n"/>
      <c r="I211" s="8" t="n"/>
      <c r="J211" s="8" t="n"/>
      <c r="K211" s="8" t="n"/>
      <c r="L211" s="8" t="n"/>
      <c r="M211" s="8" t="n"/>
      <c r="N211" s="17" t="n"/>
      <c r="O211" s="17" t="n"/>
      <c r="P211" s="17" t="n"/>
      <c r="Q211" s="17" t="n"/>
      <c r="R211" s="10">
        <f>IFERROR(_xlfn.XLOOKUP($A211,Profitability!$A$5:$A$342,Profitability!$Q$5:$Q$342),"na")</f>
        <v/>
      </c>
      <c r="S211" s="10">
        <f>IFERROR(_xlfn.XLOOKUP($A211,Profitability!$A$5:$A$342,Profitability!$R$5:$R$342),"na")</f>
        <v/>
      </c>
      <c r="T211" s="8" t="inlineStr">
        <is>
          <t>Public</t>
        </is>
      </c>
      <c r="U211" s="8" t="inlineStr">
        <is>
          <t>Australia</t>
        </is>
      </c>
      <c r="V211" s="9" t="n">
        <v>2008</v>
      </c>
      <c r="W211" s="10" t="inlineStr">
        <is>
          <t>-</t>
        </is>
      </c>
      <c r="X211" s="11" t="n">
        <v>638.651999999999</v>
      </c>
      <c r="Y211" s="8" t="inlineStr">
        <is>
          <t>Pacific</t>
        </is>
      </c>
      <c r="Z211" s="8" t="inlineStr">
        <is>
          <t>Tasmania (TAS)</t>
        </is>
      </c>
      <c r="AA211" s="11" t="n">
        <v>15277.578376539</v>
      </c>
      <c r="AB211" s="8" t="inlineStr">
        <is>
          <t>MyState Ltd. is a holding company, which engages in the provision of banking, trustee, and wealth management services. It operates through the Banking and Wealth Management segments. The Banking segment offers lending; encompassing home loans, personal, overdraft, line of credit and commercial products, transactional savings accounts and fixed term deposits, and insurance products. The Wealth Management segment provides funds management, financial planning, and trustee services. The company was founded in September 2009 and is headquartered in Hobart, Australia.</t>
        </is>
      </c>
      <c r="AC211" s="8" t="inlineStr">
        <is>
          <t>Asia/Pacific Banks</t>
        </is>
      </c>
      <c r="AD211" s="8" t="inlineStr">
        <is>
          <t>International Banks</t>
        </is>
      </c>
      <c r="AE211" s="8" t="inlineStr">
        <is>
          <t>Banking</t>
        </is>
      </c>
      <c r="AF211" s="12" t="inlineStr">
        <is>
          <t>Australia and New Zealand Banks</t>
        </is>
      </c>
      <c r="AR211" t="n">
        <v>0.055677</v>
      </c>
    </row>
    <row r="212" ht="15" customHeight="1">
      <c r="A212" s="8" t="inlineStr">
        <is>
          <t>MYR-AU</t>
        </is>
      </c>
      <c r="B212" s="8" t="inlineStr">
        <is>
          <t>Myer Holdings Ltd.</t>
        </is>
      </c>
      <c r="C212" s="8" t="n"/>
      <c r="D212" s="8" t="n"/>
      <c r="E212" s="8" t="n"/>
      <c r="F212" s="8" t="n"/>
      <c r="G212" s="8" t="n"/>
      <c r="H212" s="8" t="n"/>
      <c r="I212" s="8" t="n"/>
      <c r="J212" s="8" t="n"/>
      <c r="K212" s="8" t="n"/>
      <c r="L212" s="8" t="n"/>
      <c r="M212" s="8" t="n"/>
      <c r="N212" s="17" t="n"/>
      <c r="O212" s="17" t="n"/>
      <c r="P212" s="10" t="n">
        <v>2366</v>
      </c>
      <c r="Q212" s="10" t="n">
        <v>77500</v>
      </c>
      <c r="R212" s="10">
        <f>IFERROR(_xlfn.XLOOKUP($A212,Profitability!$A$5:$A$342,Profitability!$Q$5:$Q$342),"na")</f>
        <v/>
      </c>
      <c r="S212" s="10">
        <f>IFERROR(_xlfn.XLOOKUP($A212,Profitability!$A$5:$A$342,Profitability!$R$5:$R$342),"na")</f>
        <v/>
      </c>
      <c r="T212" s="8" t="inlineStr">
        <is>
          <t>Public</t>
        </is>
      </c>
      <c r="U212" s="8" t="inlineStr">
        <is>
          <t>Australia</t>
        </is>
      </c>
      <c r="V212" s="9" t="n">
        <v>2006</v>
      </c>
      <c r="W212" s="10" t="inlineStr">
        <is>
          <t>-</t>
        </is>
      </c>
      <c r="X212" s="11" t="n">
        <v>2644.33411016517</v>
      </c>
      <c r="Y212" s="8" t="inlineStr">
        <is>
          <t>Pacific</t>
        </is>
      </c>
      <c r="Z212" s="8" t="inlineStr">
        <is>
          <t>Victoria (VIC)</t>
        </is>
      </c>
      <c r="AA212" s="11" t="n">
        <v>2784.97756598163</v>
      </c>
      <c r="AB212" s="8" t="inlineStr">
        <is>
          <t>Myer Holdings Ltd. engages in the business of operating department stores. Its core product categories include youth fashion, children's wear, intimate apparel, beauty, fragrance and cosmetics, home ware, electrical goods, toys, fashion accessories, and general merchandise. The company was founded by Sidney Myer in 1887 and is headquartered in Docklands, Australia.</t>
        </is>
      </c>
      <c r="AC212" s="8" t="inlineStr">
        <is>
          <t>Department Stores</t>
        </is>
      </c>
      <c r="AD212" s="8" t="inlineStr">
        <is>
          <t>General Merchandise Retail</t>
        </is>
      </c>
      <c r="AE212" s="8" t="inlineStr">
        <is>
          <t>Food and Staples Retail</t>
        </is>
      </c>
      <c r="AF212" s="12" t="inlineStr">
        <is>
          <t>Asia/Pacific Department Stores</t>
        </is>
      </c>
      <c r="AR212" t="n">
        <v>-0.079873</v>
      </c>
    </row>
    <row r="213" ht="15" customHeight="1">
      <c r="A213" s="8" t="inlineStr">
        <is>
          <t>SMR-AU</t>
        </is>
      </c>
      <c r="B213" s="8" t="inlineStr">
        <is>
          <t>Stanmore Resources Ltd.</t>
        </is>
      </c>
      <c r="C213" s="8" t="n"/>
      <c r="D213" s="8" t="n"/>
      <c r="E213" s="8" t="n"/>
      <c r="F213" s="8" t="n"/>
      <c r="G213" s="8" t="n"/>
      <c r="H213" s="8" t="n"/>
      <c r="I213" s="8" t="n"/>
      <c r="J213" s="8" t="n"/>
      <c r="K213" s="8" t="n"/>
      <c r="L213" s="8" t="n"/>
      <c r="M213" s="8" t="n"/>
      <c r="N213" s="17" t="n"/>
      <c r="O213" s="17" t="n"/>
      <c r="P213" s="10" t="n">
        <v>997048</v>
      </c>
      <c r="Q213" s="10" t="n">
        <v>111075</v>
      </c>
      <c r="R213" s="10">
        <f>IFERROR(_xlfn.XLOOKUP($A213,Profitability!$A$5:$A$342,Profitability!$Q$5:$Q$342),"na")</f>
        <v/>
      </c>
      <c r="S213" s="10">
        <f>IFERROR(_xlfn.XLOOKUP($A213,Profitability!$A$5:$A$342,Profitability!$R$5:$R$342),"na")</f>
        <v/>
      </c>
      <c r="T213" s="8" t="inlineStr">
        <is>
          <t>Public</t>
        </is>
      </c>
      <c r="U213" s="8" t="inlineStr">
        <is>
          <t>Australia</t>
        </is>
      </c>
      <c r="V213" s="9" t="n">
        <v>2008</v>
      </c>
      <c r="W213" s="10" t="inlineStr">
        <is>
          <t>-</t>
        </is>
      </c>
      <c r="X213" s="11" t="n">
        <v>3631.75171390299</v>
      </c>
      <c r="Y213" s="8" t="inlineStr">
        <is>
          <t>Pacific</t>
        </is>
      </c>
      <c r="Z213" s="8" t="inlineStr">
        <is>
          <t>Queensland (QLD)</t>
        </is>
      </c>
      <c r="AA213" s="11" t="n">
        <v>5460.06605048317</v>
      </c>
      <c r="AB213" s="8" t="inlineStr">
        <is>
          <t>Stanmore Resources Ltd. is an exploration and development company, which engages in identification and development of export thermal, coking, and coal exploration properties. It operates through the following segments: Isaac Plains Complex and Exploration and Development. The company was founded by Vaughan Wishart on June 27, 2008 and is headquartered in Brisbane, Australia.</t>
        </is>
      </c>
      <c r="AC213" s="8" t="inlineStr">
        <is>
          <t>Asia/Pacific International Coal Mining</t>
        </is>
      </c>
      <c r="AD213" s="8" t="inlineStr">
        <is>
          <t>Coal and Uranium Mining</t>
        </is>
      </c>
      <c r="AE213" s="8" t="inlineStr">
        <is>
          <t>Upstream Energy</t>
        </is>
      </c>
      <c r="AF213" s="12" t="inlineStr">
        <is>
          <t>Asia/Pacific International Coal Mining</t>
        </is>
      </c>
      <c r="AH213" t="n">
        <v>582483</v>
      </c>
      <c r="AI213" t="n">
        <v>1</v>
      </c>
      <c r="AJ213" t="inlineStr">
        <is>
          <t>3.,OUR BUSINESS AND PERFORMANCE,8,,,
,,,,Scope 1 and 2 Emissions,67
3.1,Our Business,8,,,</t>
        </is>
      </c>
      <c r="AK213" t="n">
        <v>114865</v>
      </c>
      <c r="AL213" t="n">
        <v>1</v>
      </c>
      <c r="AM213" t="inlineStr">
        <is>
          <t>Total Scope 1 Emissions,tCO2-e,"582,483","797,805","997,048"
Total Scope 2 Emissions,tCO2-e,"114,865","109,674","111,075"
Total Emissions,tCO2-e,"697,348","907,479","1,108,123"</t>
        </is>
      </c>
      <c r="AQ213" t="n">
        <v>1</v>
      </c>
      <c r="AR213" t="n">
        <v>0.079942</v>
      </c>
      <c r="AS213" t="n">
        <v>0.000275</v>
      </c>
    </row>
    <row r="214" ht="15" customHeight="1">
      <c r="A214" s="8" t="inlineStr">
        <is>
          <t>BGA-AU</t>
        </is>
      </c>
      <c r="B214" s="8" t="inlineStr">
        <is>
          <t>Bega Cheese Ltd.</t>
        </is>
      </c>
      <c r="C214" s="8" t="n"/>
      <c r="D214" s="8" t="n"/>
      <c r="E214" s="8" t="n"/>
      <c r="F214" s="8" t="n"/>
      <c r="G214" s="8" t="n"/>
      <c r="H214" s="8" t="n"/>
      <c r="I214" s="8" t="n"/>
      <c r="J214" s="8" t="n"/>
      <c r="K214" s="8" t="n"/>
      <c r="L214" s="8" t="n"/>
      <c r="M214" s="8" t="n"/>
      <c r="N214" s="17" t="n"/>
      <c r="O214" s="17" t="n"/>
      <c r="P214" s="10" t="n">
        <v>83512</v>
      </c>
      <c r="Q214" s="10" t="n">
        <v>158771</v>
      </c>
      <c r="R214" s="10">
        <f>IFERROR(_xlfn.XLOOKUP($A214,Profitability!$A$5:$A$342,Profitability!$Q$5:$Q$342),"na")</f>
        <v/>
      </c>
      <c r="S214" s="10">
        <f>IFERROR(_xlfn.XLOOKUP($A214,Profitability!$A$5:$A$342,Profitability!$R$5:$R$342),"na")</f>
        <v/>
      </c>
      <c r="T214" s="8" t="inlineStr">
        <is>
          <t>Public</t>
        </is>
      </c>
      <c r="U214" s="8" t="inlineStr">
        <is>
          <t>Australia</t>
        </is>
      </c>
      <c r="V214" s="9" t="n">
        <v>1899</v>
      </c>
      <c r="W214" s="10" t="inlineStr">
        <is>
          <t>-</t>
        </is>
      </c>
      <c r="X214" s="11" t="n">
        <v>3538.99999999999</v>
      </c>
      <c r="Y214" s="8" t="inlineStr">
        <is>
          <t>Pacific</t>
        </is>
      </c>
      <c r="Z214" s="8" t="inlineStr">
        <is>
          <t>New South Wales (NSW)</t>
        </is>
      </c>
      <c r="AA214" s="11" t="n">
        <v>2040.70005029615</v>
      </c>
      <c r="AB214" s="8" t="inlineStr">
        <is>
          <t>Bega Cheese Ltd. engages in receiving, processing, manufacturing, and distributing dairy and other food-related products. It operates through two segments: Branded and Bulk. The Branded segment manufactures value added consumer products for owned and externally owned brands. The Bulk segment focuses on the manufacture of bulk dairy ingredients, nutritional, and bio nutrient products. The company was founded on July 15, 1899 and is headquartered North Bega, Australia.</t>
        </is>
      </c>
      <c r="AC214" s="8" t="inlineStr">
        <is>
          <t>Food Production</t>
        </is>
      </c>
      <c r="AD214" s="8" t="inlineStr">
        <is>
          <t>Food and Beverage Production</t>
        </is>
      </c>
      <c r="AE214" s="8" t="inlineStr">
        <is>
          <t>Food and Tobacco Production</t>
        </is>
      </c>
      <c r="AF214" s="12" t="inlineStr">
        <is>
          <t>Dairy and Dairy Alternative Production</t>
        </is>
      </c>
      <c r="AR214" t="n">
        <v>-0.002402</v>
      </c>
    </row>
    <row r="215" ht="15" customHeight="1">
      <c r="A215" s="8" t="inlineStr">
        <is>
          <t>RDX-AU</t>
        </is>
      </c>
      <c r="B215" s="8" t="inlineStr">
        <is>
          <t>Redox Ltd.</t>
        </is>
      </c>
      <c r="C215" s="8" t="n"/>
      <c r="D215" s="8" t="n"/>
      <c r="E215" s="8" t="n"/>
      <c r="F215" s="8" t="n"/>
      <c r="G215" s="8" t="n"/>
      <c r="H215" s="8" t="n"/>
      <c r="I215" s="8" t="n"/>
      <c r="J215" s="8" t="n"/>
      <c r="K215" s="8" t="n"/>
      <c r="L215" s="8" t="n"/>
      <c r="M215" s="8" t="n"/>
      <c r="N215" s="17" t="n"/>
      <c r="O215" s="17" t="n"/>
      <c r="P215" s="17" t="n"/>
      <c r="Q215" s="17" t="n"/>
      <c r="R215" s="10">
        <f>IFERROR(_xlfn.XLOOKUP($A215,Profitability!$A$5:$A$342,Profitability!$Q$5:$Q$342),"na")</f>
        <v/>
      </c>
      <c r="S215" s="10">
        <f>IFERROR(_xlfn.XLOOKUP($A215,Profitability!$A$5:$A$342,Profitability!$R$5:$R$342),"na")</f>
        <v/>
      </c>
      <c r="T215" s="8" t="inlineStr">
        <is>
          <t>Public</t>
        </is>
      </c>
      <c r="U215" s="8" t="inlineStr">
        <is>
          <t>Australia</t>
        </is>
      </c>
      <c r="V215" s="9" t="n">
        <v>1970</v>
      </c>
      <c r="W215" s="10" t="inlineStr">
        <is>
          <t>-</t>
        </is>
      </c>
      <c r="X215" s="11" t="n">
        <v>1243.79699999999</v>
      </c>
      <c r="Y215" s="8" t="inlineStr">
        <is>
          <t>Pacific</t>
        </is>
      </c>
      <c r="Z215" s="8" t="inlineStr">
        <is>
          <t>New South Wales (NSW)</t>
        </is>
      </c>
      <c r="AA215" s="11" t="n">
        <v>732.214018046526</v>
      </c>
      <c r="AB215" s="8" t="inlineStr">
        <is>
          <t>Redox Ltd. engages in the marketing and distribution of organic and inorganic ingredient and raw materials. The company's product line includes agriculture, chemical manufacture, detergents, food and beverage, plastic and foam, mining, oil and gas, metals, rubber, textile, building and construction, lubricants, human health, personal care, water treatment, and surface coating chemicals. Redox was founded by Coneliano Roland in 1965 and headquartered in Minto, Australia.</t>
        </is>
      </c>
      <c r="AC215" s="8" t="inlineStr">
        <is>
          <t>Materials Distributors</t>
        </is>
      </c>
      <c r="AD215" s="8" t="inlineStr">
        <is>
          <t>Diversified Industrials Distribution</t>
        </is>
      </c>
      <c r="AE215" s="8" t="inlineStr">
        <is>
          <t>Industrial Services</t>
        </is>
      </c>
      <c r="AF215" s="12" t="inlineStr">
        <is>
          <t>Chemical and Allied Products Distributors</t>
        </is>
      </c>
      <c r="AH215" t="n">
        <v>475</v>
      </c>
      <c r="AI215" t="n">
        <v>1</v>
      </c>
      <c r="AJ215" t="inlineStr">
        <is>
          <t>Direct Scope 1 GHG emissions,474.82,515.97</t>
        </is>
      </c>
      <c r="AK215" t="n">
        <v>1323</v>
      </c>
      <c r="AL215" t="n">
        <v>1</v>
      </c>
      <c r="AM215" t="inlineStr">
        <is>
          <t>Indirect (location-based) Scope 2 GHG emissions (purchased electricity),"1,322.73","1,322.23"</t>
        </is>
      </c>
      <c r="AN215" t="n">
        <v>178940</v>
      </c>
      <c r="AO215" t="n">
        <v>1</v>
      </c>
      <c r="AP215" t="inlineStr">
        <is>
          <t>Other indirect Scope 3 GHG emissions (value chain),"178,939.51","156,102.40"</t>
        </is>
      </c>
      <c r="AQ215" t="n">
        <v>0</v>
      </c>
      <c r="AR215" t="n">
        <v>0.061988</v>
      </c>
      <c r="AS215" t="n">
        <v>0</v>
      </c>
    </row>
    <row r="216" ht="15" customHeight="1">
      <c r="A216" s="8" t="inlineStr">
        <is>
          <t>SXL-AU</t>
        </is>
      </c>
      <c r="B216" s="8" t="inlineStr">
        <is>
          <t>Southern Cross Media Group Ltd.</t>
        </is>
      </c>
      <c r="C216" s="8" t="n"/>
      <c r="D216" s="8" t="n"/>
      <c r="E216" s="8" t="n"/>
      <c r="F216" s="8" t="n"/>
      <c r="G216" s="8" t="n"/>
      <c r="H216" s="8" t="n"/>
      <c r="I216" s="8" t="n"/>
      <c r="J216" s="8" t="n"/>
      <c r="K216" s="8" t="n"/>
      <c r="L216" s="8" t="n"/>
      <c r="M216" s="8" t="n"/>
      <c r="N216" s="17" t="n"/>
      <c r="O216" s="17" t="n"/>
      <c r="P216" s="17" t="n"/>
      <c r="Q216" s="17" t="n"/>
      <c r="R216" s="10">
        <f>IFERROR(_xlfn.XLOOKUP($A216,Profitability!$A$5:$A$342,Profitability!$Q$5:$Q$342),"na")</f>
        <v/>
      </c>
      <c r="S216" s="10">
        <f>IFERROR(_xlfn.XLOOKUP($A216,Profitability!$A$5:$A$342,Profitability!$R$5:$R$342),"na")</f>
        <v/>
      </c>
      <c r="T216" s="8" t="inlineStr">
        <is>
          <t>Public</t>
        </is>
      </c>
      <c r="U216" s="8" t="inlineStr">
        <is>
          <t>Australia</t>
        </is>
      </c>
      <c r="V216" s="9" t="n">
        <v>2005</v>
      </c>
      <c r="W216" s="10" t="inlineStr">
        <is>
          <t>-</t>
        </is>
      </c>
      <c r="X216" s="11" t="n">
        <v>421.699</v>
      </c>
      <c r="Y216" s="8" t="inlineStr">
        <is>
          <t>Pacific</t>
        </is>
      </c>
      <c r="Z216" s="8" t="inlineStr">
        <is>
          <t>Victoria (VIC)</t>
        </is>
      </c>
      <c r="AA216" s="11" t="n">
        <v>686.06201690904</v>
      </c>
      <c r="AB216" s="8" t="inlineStr">
        <is>
          <t>Southern Cross Media Group Ltd. engages in the provision of entertainment media solutions. It operates through the following segments: Audio, Television, and Corporate. The Audio segment includes metro and regional radio, and podcasting. The Television segment involves in the regional television business. The company was founded on November 5, 2007 is headquartered in South Melbourne, Australia.</t>
        </is>
      </c>
      <c r="AC216" s="8" t="inlineStr">
        <is>
          <t>Broadcast Media Services</t>
        </is>
      </c>
      <c r="AD216" s="8" t="inlineStr">
        <is>
          <t>Media and Publishing Services</t>
        </is>
      </c>
      <c r="AE216" s="8" t="inlineStr">
        <is>
          <t>Media and Publishing Services</t>
        </is>
      </c>
      <c r="AF216" s="12" t="inlineStr">
        <is>
          <t>Radio and Television Broadcasting</t>
        </is>
      </c>
      <c r="AR216" t="n">
        <v>0.015191</v>
      </c>
    </row>
    <row r="217" ht="15" customHeight="1">
      <c r="A217" s="8" t="inlineStr">
        <is>
          <t>SGLLV-AU</t>
        </is>
      </c>
      <c r="B217" s="8" t="inlineStr">
        <is>
          <t>Ricegrowers Ltd.</t>
        </is>
      </c>
      <c r="C217" s="8" t="n"/>
      <c r="D217" s="8" t="n"/>
      <c r="E217" s="8" t="n"/>
      <c r="F217" s="8" t="n"/>
      <c r="G217" s="8" t="n"/>
      <c r="H217" s="8" t="n"/>
      <c r="I217" s="8" t="n"/>
      <c r="J217" s="8" t="n"/>
      <c r="K217" s="8" t="n"/>
      <c r="L217" s="8" t="n"/>
      <c r="M217" s="8" t="n"/>
      <c r="N217" s="17" t="n"/>
      <c r="O217" s="17" t="n"/>
      <c r="P217" s="10" t="n">
        <v>10493</v>
      </c>
      <c r="Q217" s="10" t="n">
        <v>63040</v>
      </c>
      <c r="R217" s="10">
        <f>IFERROR(_xlfn.XLOOKUP($A217,Profitability!$A$5:$A$342,Profitability!$Q$5:$Q$342),"na")</f>
        <v/>
      </c>
      <c r="S217" s="10">
        <f>IFERROR(_xlfn.XLOOKUP($A217,Profitability!$A$5:$A$342,Profitability!$R$5:$R$342),"na")</f>
        <v/>
      </c>
      <c r="T217" s="8" t="inlineStr">
        <is>
          <t>Public</t>
        </is>
      </c>
      <c r="U217" s="8" t="inlineStr">
        <is>
          <t>Australia</t>
        </is>
      </c>
      <c r="V217" s="9" t="n">
        <v>2005</v>
      </c>
      <c r="W217" s="10" t="n">
        <v>2139</v>
      </c>
      <c r="X217" s="11" t="n">
        <v>1844.61299999999</v>
      </c>
      <c r="Y217" s="8" t="inlineStr">
        <is>
          <t>Pacific</t>
        </is>
      </c>
      <c r="Z217" s="8" t="inlineStr">
        <is>
          <t>New South Wales (NSW)</t>
        </is>
      </c>
      <c r="AA217" s="11" t="n">
        <v>1502.92396792095</v>
      </c>
      <c r="AB217" s="8" t="inlineStr">
        <is>
          <t>Ricegrowers Ltd. engages in the receipt and storage of paddy rice, the milling, processing, manufacturing, procurement, distribution, and marketing of rice and related products, animal feed and nutrition products and other grocery, gourmet, and entertainment food products and the research and development into the growing of rice. It operates through the following segments: Rice Pool, International Rice, Rice Food, Riviana Foods, CopRice, and Corporate. The Rice Pool segment is involved in the milling, marketing, and distribution of Riverina rice, directly to customers across many channels. The International Rice segment focuses on the processing, manufacturing, marketing, and distribution of bulk or branded rice products through intermediaries to consumers, food service and processing customers in global markets. The Rice Food segment includes the manufacturing, marketing, and distribution of value-added rice-based products, including snacks, ingredients, and preprepared meals, both in domestic and global markets. The Riviana Foods segment refers to the distribution of both imported and locally manufactured branded specialty gourmet and special occasions food products to retail and food service customers in Australia and export markets. The CopRice segment consists of the manufacture and distribution of bulk stockfeed to primary producers and branded packaged stockfeed and companion animal feed products through retail and wholesale channels. The Corporate segment captures the income and cost of holding and financing the assets. The company was founded in 1950 and is headquartered in Leeton, Australia.</t>
        </is>
      </c>
      <c r="AC217" s="8" t="inlineStr">
        <is>
          <t>Food Production</t>
        </is>
      </c>
      <c r="AD217" s="8" t="inlineStr">
        <is>
          <t>Food and Beverage Production</t>
        </is>
      </c>
      <c r="AE217" s="8" t="inlineStr">
        <is>
          <t>Food and Tobacco Production</t>
        </is>
      </c>
      <c r="AF217" s="12" t="inlineStr">
        <is>
          <t>Other Food Production</t>
        </is>
      </c>
      <c r="AR217" t="n">
        <v>0.037087</v>
      </c>
    </row>
    <row r="218" ht="15" customHeight="1">
      <c r="A218" s="8" t="inlineStr">
        <is>
          <t>PLS-AU</t>
        </is>
      </c>
      <c r="B218" s="8" t="inlineStr">
        <is>
          <t>Pilbara Minerals Ltd.</t>
        </is>
      </c>
      <c r="C218" s="8" t="n"/>
      <c r="D218" s="8" t="n"/>
      <c r="E218" s="8" t="n"/>
      <c r="F218" s="8" t="n"/>
      <c r="G218" s="8" t="n"/>
      <c r="H218" s="8" t="n"/>
      <c r="I218" s="8" t="n"/>
      <c r="J218" s="8" t="n"/>
      <c r="K218" s="8" t="n"/>
      <c r="L218" s="8" t="n"/>
      <c r="M218" s="8" t="n"/>
      <c r="N218" s="17" t="n"/>
      <c r="O218" s="17" t="n"/>
      <c r="P218" s="10" t="n">
        <v>180291</v>
      </c>
      <c r="Q218" s="17" t="n">
        <v>110</v>
      </c>
      <c r="R218" s="10">
        <f>IFERROR(_xlfn.XLOOKUP($A218,Profitability!$A$5:$A$342,Profitability!$Q$5:$Q$342),"na")</f>
        <v/>
      </c>
      <c r="S218" s="10">
        <f>IFERROR(_xlfn.XLOOKUP($A218,Profitability!$A$5:$A$342,Profitability!$R$5:$R$342),"na")</f>
        <v/>
      </c>
      <c r="T218" s="8" t="inlineStr">
        <is>
          <t>Public</t>
        </is>
      </c>
      <c r="U218" s="8" t="inlineStr">
        <is>
          <t>Australia</t>
        </is>
      </c>
      <c r="V218" s="9" t="n">
        <v>2005</v>
      </c>
      <c r="W218" s="10" t="n">
        <v>950</v>
      </c>
      <c r="X218" s="11" t="n">
        <v>768.85</v>
      </c>
      <c r="Y218" s="8" t="inlineStr">
        <is>
          <t>Pacific</t>
        </is>
      </c>
      <c r="Z218" s="8" t="inlineStr">
        <is>
          <t>Western Australia (WA)</t>
        </is>
      </c>
      <c r="AA218" s="11" t="n">
        <v>4667.39511503504</v>
      </c>
      <c r="AB218" s="8" t="inlineStr">
        <is>
          <t>Pilbara Minerals Ltd. engages in the provision of exploration and evaluation of mineral properties. It operates through the China and Other Foreign Countries geographical segments. It focuses on lithium and tantalum properties of Pilgangoora Lithium-Tantalum Project located in the Pilbara region. The company was founded on January 10, 2005 and is headquartered in West Perth, Australia.</t>
        </is>
      </c>
      <c r="AC218" s="8" t="inlineStr">
        <is>
          <t>Base Metal Mining</t>
        </is>
      </c>
      <c r="AD218" s="8" t="inlineStr">
        <is>
          <t>Metal Ore Mining</t>
        </is>
      </c>
      <c r="AE218" s="8" t="inlineStr">
        <is>
          <t>Mining and Mineral Products</t>
        </is>
      </c>
      <c r="AF218" s="12" t="inlineStr">
        <is>
          <t>Lithium Ore Mining</t>
        </is>
      </c>
      <c r="AR218" t="n">
        <v>-0.254622</v>
      </c>
    </row>
    <row r="219" ht="15" customHeight="1">
      <c r="A219" s="8" t="inlineStr">
        <is>
          <t>ALX-AU</t>
        </is>
      </c>
      <c r="B219" s="8" t="inlineStr">
        <is>
          <t>Atlas Arteria Ltd.</t>
        </is>
      </c>
      <c r="C219" s="8" t="n"/>
      <c r="D219" s="8" t="n"/>
      <c r="E219" s="8" t="n"/>
      <c r="F219" s="8" t="n"/>
      <c r="G219" s="8" t="n"/>
      <c r="H219" s="8" t="n"/>
      <c r="I219" s="8" t="n"/>
      <c r="J219" s="8" t="n"/>
      <c r="K219" s="8" t="n"/>
      <c r="L219" s="8" t="n"/>
      <c r="M219" s="8" t="n"/>
      <c r="N219" s="17" t="n"/>
      <c r="O219" s="17" t="n"/>
      <c r="P219" s="17" t="n"/>
      <c r="Q219" s="17" t="n"/>
      <c r="R219" s="10">
        <f>IFERROR(_xlfn.XLOOKUP($A219,Profitability!$A$5:$A$342,Profitability!$Q$5:$Q$342),"na")</f>
        <v/>
      </c>
      <c r="S219" s="10">
        <f>IFERROR(_xlfn.XLOOKUP($A219,Profitability!$A$5:$A$342,Profitability!$R$5:$R$342),"na")</f>
        <v/>
      </c>
      <c r="T219" s="8" t="inlineStr">
        <is>
          <t>Public</t>
        </is>
      </c>
      <c r="U219" s="8" t="inlineStr">
        <is>
          <t>Australia</t>
        </is>
      </c>
      <c r="V219" s="9" t="n">
        <v>2009</v>
      </c>
      <c r="W219" s="10" t="inlineStr">
        <is>
          <t>-</t>
        </is>
      </c>
      <c r="X219" s="11" t="n">
        <v>145.899999999999</v>
      </c>
      <c r="Y219" s="8" t="inlineStr">
        <is>
          <t>Pacific</t>
        </is>
      </c>
      <c r="Z219" s="8" t="inlineStr">
        <is>
          <t>Victoria (VIC)</t>
        </is>
      </c>
      <c r="AA219" s="11" t="n">
        <v>8276.999743261889</v>
      </c>
      <c r="AB219" s="8" t="inlineStr">
        <is>
          <t>Atlas Arteria Ltd. owns, operates, and develops toll roads globally. The firm's projects include toll roads, bridges, tunnels, and investment in entities in the same industry sector. It operates through the following segments: APRR, ADELAC, Warnow Tunnel, Chicago Skyway, and Dulles Greenway. The company was founded on December 16, 2009 and is headquartered in Melbourne, Australia.</t>
        </is>
      </c>
      <c r="AC219" s="8" t="inlineStr">
        <is>
          <t>Road and Rail Transportation Operators</t>
        </is>
      </c>
      <c r="AD219" s="8" t="inlineStr">
        <is>
          <t>Cargo Transportation and Infrastructure Services</t>
        </is>
      </c>
      <c r="AE219" s="8" t="inlineStr">
        <is>
          <t>Industrial Services</t>
        </is>
      </c>
      <c r="AF219" s="12" t="inlineStr">
        <is>
          <t>Road Transportation</t>
        </is>
      </c>
      <c r="AH219" t="n">
        <v>6013</v>
      </c>
      <c r="AJ219" t="inlineStr">
        <is>
          <t>Scope 2 uses market-based methodology [1]. Scope 3 represents customer emissions only [1].</t>
        </is>
      </c>
      <c r="AK219" t="n">
        <v>39</v>
      </c>
      <c r="AM219" t="inlineStr">
        <is>
          <t>Scope 2 uses market-based methodology [1]. Scope 3 represents customer emissions only [1].</t>
        </is>
      </c>
      <c r="AN219" t="n">
        <v>2353964</v>
      </c>
      <c r="AP219" t="inlineStr">
        <is>
          <t>Scope 2 uses market-based methodology [1]. Scope 3 represents customer emissions only [1].</t>
        </is>
      </c>
      <c r="AR219" t="n">
        <v>1.886909</v>
      </c>
    </row>
    <row r="220" ht="15" customHeight="1">
      <c r="A220" s="8" t="inlineStr">
        <is>
          <t>SGH-AU</t>
        </is>
      </c>
      <c r="B220" s="8" t="inlineStr">
        <is>
          <t>SGH Ltd.</t>
        </is>
      </c>
      <c r="C220" s="8" t="n"/>
      <c r="D220" s="8" t="n"/>
      <c r="E220" s="8" t="n"/>
      <c r="F220" s="8" t="n"/>
      <c r="G220" s="8" t="n"/>
      <c r="H220" s="8" t="n"/>
      <c r="I220" s="8" t="n"/>
      <c r="J220" s="8" t="n"/>
      <c r="K220" s="8" t="n"/>
      <c r="L220" s="8" t="n"/>
      <c r="M220" s="8" t="n"/>
      <c r="N220" s="17" t="n"/>
      <c r="O220" s="17" t="n"/>
      <c r="P220" s="10" t="n">
        <v>1281444</v>
      </c>
      <c r="Q220" s="10" t="n">
        <v>258079</v>
      </c>
      <c r="R220" s="10">
        <f>IFERROR(_xlfn.XLOOKUP($A220,Profitability!$A$5:$A$342,Profitability!$Q$5:$Q$342),"na")</f>
        <v/>
      </c>
      <c r="S220" s="10">
        <f>IFERROR(_xlfn.XLOOKUP($A220,Profitability!$A$5:$A$342,Profitability!$R$5:$R$342),"na")</f>
        <v/>
      </c>
      <c r="T220" s="8" t="inlineStr">
        <is>
          <t>Public</t>
        </is>
      </c>
      <c r="U220" s="8" t="inlineStr">
        <is>
          <t>Australia</t>
        </is>
      </c>
      <c r="V220" s="9" t="n">
        <v>2010</v>
      </c>
      <c r="W220" s="10" t="n">
        <v>14000</v>
      </c>
      <c r="X220" s="11" t="n">
        <v>10743.4999999999</v>
      </c>
      <c r="Y220" s="8" t="inlineStr">
        <is>
          <t>Pacific</t>
        </is>
      </c>
      <c r="Z220" s="8" t="inlineStr">
        <is>
          <t>New South Wales (NSW)</t>
        </is>
      </c>
      <c r="AA220" s="11" t="n">
        <v>12930.0003186794</v>
      </c>
      <c r="AB220" s="8" t="inlineStr">
        <is>
          <t>SGH Ltd. is an investment company, which focuses on industrial services, media, and investments. It operates through the following business segments: WesTrac, Coates, Boral, Energy, Media Investments, and Other Investments. The WesTrac segment provides heavy equipment sales and support to customers. The Coates segment offers a range of general and specialist equipment to a variety of markets including engineering, building construction and maintenance, mining and resources, manufacturing, government, and events. The Boral segment is a construction materials group. The Media Investments segment relates to investments in listed and unlisted media organizations. The Other Investments segment covers other investments and incorporates listed investments and property. The company was founded in 1956 and is headquartered in Sydney, Australia.</t>
        </is>
      </c>
      <c r="AC220" s="8" t="inlineStr">
        <is>
          <t>Equipment and Supplies Distributors</t>
        </is>
      </c>
      <c r="AD220" s="8" t="inlineStr">
        <is>
          <t>Diversified Industrials Distribution</t>
        </is>
      </c>
      <c r="AE220" s="8" t="inlineStr">
        <is>
          <t>Industrial Services</t>
        </is>
      </c>
      <c r="AF220" s="12" t="inlineStr">
        <is>
          <t>Industrial Machinery and Supplies Distributors</t>
        </is>
      </c>
      <c r="AH220" t="n">
        <v>1170000</v>
      </c>
      <c r="AI220" t="n">
        <v>1</v>
      </c>
      <c r="AJ220" t="inlineStr">
        <is>
          <t>,,"1,170
Scope 1 emissions (kt CO2e)"
–,Re‑aligning targets and tracking progress against measure,</t>
        </is>
      </c>
      <c r="AK220" t="n">
        <v>258000</v>
      </c>
      <c r="AL220" t="n">
        <v>1</v>
      </c>
      <c r="AM220" t="inlineStr">
        <is>
          <t>,Materials (SCMs). SCMs are typically ground granulated
0,
,"blast‑furnace slag and fly ash, which are by‑products of steel"</t>
        </is>
      </c>
      <c r="AQ220" t="n">
        <v>3</v>
      </c>
      <c r="AR220" t="n">
        <v>0.045246</v>
      </c>
      <c r="AS220" t="n">
        <v>0.000279</v>
      </c>
    </row>
    <row r="221" ht="15" customHeight="1">
      <c r="A221" s="8" t="inlineStr">
        <is>
          <t>APX-AU</t>
        </is>
      </c>
      <c r="B221" s="8" t="inlineStr">
        <is>
          <t>Appen Ltd.</t>
        </is>
      </c>
      <c r="C221" s="8" t="n"/>
      <c r="D221" s="8" t="n"/>
      <c r="E221" s="8" t="n"/>
      <c r="F221" s="8" t="n"/>
      <c r="G221" s="8" t="n"/>
      <c r="H221" s="8" t="n"/>
      <c r="I221" s="8" t="n"/>
      <c r="J221" s="8" t="n"/>
      <c r="K221" s="8" t="n"/>
      <c r="L221" s="8" t="n"/>
      <c r="M221" s="8" t="n"/>
      <c r="N221" s="17" t="n"/>
      <c r="O221" s="17" t="n"/>
      <c r="P221" s="17" t="n"/>
      <c r="Q221" s="17" t="n"/>
      <c r="R221" s="10">
        <f>IFERROR(_xlfn.XLOOKUP($A221,Profitability!$A$5:$A$342,Profitability!$Q$5:$Q$342),"na")</f>
        <v/>
      </c>
      <c r="S221" s="10">
        <f>IFERROR(_xlfn.XLOOKUP($A221,Profitability!$A$5:$A$342,Profitability!$R$5:$R$342),"na")</f>
        <v/>
      </c>
      <c r="T221" s="8" t="inlineStr">
        <is>
          <t>Public</t>
        </is>
      </c>
      <c r="U221" s="8" t="inlineStr">
        <is>
          <t>Australia</t>
        </is>
      </c>
      <c r="V221" s="9" t="n">
        <v>1996</v>
      </c>
      <c r="W221" s="10" t="n">
        <v>1171</v>
      </c>
      <c r="X221" s="11" t="n">
        <v>355.193049589547</v>
      </c>
      <c r="Y221" s="8" t="inlineStr">
        <is>
          <t>Pacific</t>
        </is>
      </c>
      <c r="Z221" s="8" t="inlineStr">
        <is>
          <t>New South Wales (NSW)</t>
        </is>
      </c>
      <c r="AA221" s="11" t="n">
        <v>275.524500863152</v>
      </c>
      <c r="AB221" s="8" t="inlineStr">
        <is>
          <t>Appen Ltd. engages in the development of human-annotated datasets for machine learning and artificial intelligence. It operates through the Global Services and New Markets segments. The Global Services segment includes the services provided to the five major U.S. technology customers using data annotation platforms and tools. The New Markets segment represents product-led businesses using collection, annotation, and evaluation products and tools, and Enterprise, Government, China, and Quadrant businesses. The company was founded in 1996 and is headquartered in Chatswood, Australia.</t>
        </is>
      </c>
      <c r="AC221" s="8" t="inlineStr">
        <is>
          <t>Information Technology Consulting</t>
        </is>
      </c>
      <c r="AD221" s="8" t="inlineStr">
        <is>
          <t>Technology Consulting Services</t>
        </is>
      </c>
      <c r="AE221" s="8" t="inlineStr">
        <is>
          <t>Software and Consulting</t>
        </is>
      </c>
      <c r="AF221" s="12" t="inlineStr">
        <is>
          <t>Information Technology Consulting</t>
        </is>
      </c>
      <c r="AH221" t="n">
        <v>309</v>
      </c>
      <c r="AJ221" t="inlineStr">
        <is>
          <t>Scope 1 (Natural gas) [2, 3]. Scope 2 uses Market-Based methodology [2, 3].</t>
        </is>
      </c>
      <c r="AK221" t="n">
        <v>1631</v>
      </c>
      <c r="AM221" t="inlineStr">
        <is>
          <t>Scope 1 (Natural gas) [2, 3]. Scope 2 uses Market-Based methodology [2, 3].</t>
        </is>
      </c>
      <c r="AN221" t="n">
        <v>12496</v>
      </c>
      <c r="AP221" t="inlineStr">
        <is>
          <t>Scope 1 (Natural gas) [2, 3]. Scope 2 uses Market-Based methodology [2, 3].</t>
        </is>
      </c>
      <c r="AR221" t="n">
        <v>-0.08540499999999999</v>
      </c>
    </row>
    <row r="222" ht="15" customHeight="1">
      <c r="A222" s="8" t="inlineStr">
        <is>
          <t>AZJ-AU</t>
        </is>
      </c>
      <c r="B222" s="8" t="inlineStr">
        <is>
          <t>Aurizon Holdings Ltd.</t>
        </is>
      </c>
      <c r="C222" s="8" t="n"/>
      <c r="D222" s="8" t="n"/>
      <c r="E222" s="8" t="n"/>
      <c r="F222" s="8" t="n"/>
      <c r="G222" s="8" t="n"/>
      <c r="H222" s="8" t="n"/>
      <c r="I222" s="8" t="n"/>
      <c r="J222" s="8" t="n"/>
      <c r="K222" s="8" t="n"/>
      <c r="L222" s="8" t="n"/>
      <c r="M222" s="8" t="n"/>
      <c r="N222" s="17" t="n"/>
      <c r="O222" s="17" t="n"/>
      <c r="P222" s="10" t="n">
        <v>662797</v>
      </c>
      <c r="Q222" s="10" t="n">
        <v>283225</v>
      </c>
      <c r="R222" s="10">
        <f>IFERROR(_xlfn.XLOOKUP($A222,Profitability!$A$5:$A$342,Profitability!$Q$5:$Q$342),"na")</f>
        <v/>
      </c>
      <c r="S222" s="10">
        <f>IFERROR(_xlfn.XLOOKUP($A222,Profitability!$A$5:$A$342,Profitability!$R$5:$R$342),"na")</f>
        <v/>
      </c>
      <c r="T222" s="8" t="inlineStr">
        <is>
          <t>Public</t>
        </is>
      </c>
      <c r="U222" s="8" t="inlineStr">
        <is>
          <t>Australia</t>
        </is>
      </c>
      <c r="V222" s="9" t="n">
        <v>2010</v>
      </c>
      <c r="W222" s="10" t="n">
        <v>5988</v>
      </c>
      <c r="X222" s="11" t="n">
        <v>3869</v>
      </c>
      <c r="Y222" s="8" t="inlineStr">
        <is>
          <t>Pacific</t>
        </is>
      </c>
      <c r="Z222" s="8" t="inlineStr">
        <is>
          <t>Queensland (QLD)</t>
        </is>
      </c>
      <c r="AA222" s="11" t="n">
        <v>11913.0002936139</v>
      </c>
      <c r="AB222" s="8" t="inlineStr">
        <is>
          <t>Aurizon Holdings Ltd. is a rail freight operator, which engages in provision of customers with integrated freight and logistics solutions across an extensive national rail and road network, traversing Australia. It operates through the following segments: Network, Coal, Bulk, and Other. The Network segment manages the provision of access to, and operation of, the CQCN, provision of maintenance and renewal of Network assets. The Coal segment provides transport of coal from mines in Queensland and New South Wales to end customers and ports. The Bulk segment provides integrated supply chain services, including rail and road transportation, port services and material handling for a range of mining, metal, industrial and agricultural customers. The Other segment includes provision of services to internal and external customers. It moves bulk commodities such as iron ore, coal, cement, bauxite, alumina, base metals, grain, livestock and fertilizers. The company was founded on September 14, 2010 and is headquartered in Fortitude Valley, Australia.</t>
        </is>
      </c>
      <c r="AC222" s="8" t="inlineStr">
        <is>
          <t>Road and Rail Transportation Operators</t>
        </is>
      </c>
      <c r="AD222" s="8" t="inlineStr">
        <is>
          <t>Cargo Transportation and Infrastructure Services</t>
        </is>
      </c>
      <c r="AE222" s="8" t="inlineStr">
        <is>
          <t>Industrial Services</t>
        </is>
      </c>
      <c r="AF222" s="12" t="inlineStr">
        <is>
          <t>Rail Transportation</t>
        </is>
      </c>
      <c r="AH222" t="n">
        <v>591216</v>
      </c>
      <c r="AJ222" t="inlineStr">
        <is>
          <t>Scope 1 emissions reported in FY2023 [6]. Scope 2 uses Market-based methodology [7]. Scope 3 emissions reported in FY2023 [7].</t>
        </is>
      </c>
      <c r="AK222" t="n">
        <v>304703</v>
      </c>
      <c r="AM222" t="inlineStr">
        <is>
          <t>Scope 1 emissions reported in FY2023 [6]. Scope 2 uses Market-based methodology [7]. Scope 3 emissions reported in FY2023 [7].</t>
        </is>
      </c>
      <c r="AN222" t="n">
        <v>304710</v>
      </c>
      <c r="AP222" t="inlineStr">
        <is>
          <t>Scope 1 emissions reported in FY2023 [6]. Scope 2 uses Market-based methodology [7]. Scope 3 emissions reported in FY2023 [7].</t>
        </is>
      </c>
      <c r="AR222" t="n">
        <v>0.078315</v>
      </c>
    </row>
    <row r="223" ht="15" customHeight="1">
      <c r="A223" s="8" t="inlineStr">
        <is>
          <t>ABB-AU</t>
        </is>
      </c>
      <c r="B223" s="8" t="inlineStr">
        <is>
          <t>Aussie Broadband Ltd.</t>
        </is>
      </c>
      <c r="C223" s="8" t="n"/>
      <c r="D223" s="8" t="n"/>
      <c r="E223" s="8" t="n"/>
      <c r="F223" s="8" t="n"/>
      <c r="G223" s="8" t="n"/>
      <c r="H223" s="8" t="n"/>
      <c r="I223" s="8" t="n"/>
      <c r="J223" s="8" t="n"/>
      <c r="K223" s="8" t="n"/>
      <c r="L223" s="8" t="n"/>
      <c r="M223" s="8" t="n"/>
      <c r="N223" s="17" t="n"/>
      <c r="O223" s="17" t="n"/>
      <c r="P223" s="17" t="n"/>
      <c r="Q223" s="17" t="n"/>
      <c r="R223" s="10">
        <f>IFERROR(_xlfn.XLOOKUP($A223,Profitability!$A$5:$A$342,Profitability!$Q$5:$Q$342),"na")</f>
        <v/>
      </c>
      <c r="S223" s="10">
        <f>IFERROR(_xlfn.XLOOKUP($A223,Profitability!$A$5:$A$342,Profitability!$R$5:$R$342),"na")</f>
        <v/>
      </c>
      <c r="T223" s="8" t="inlineStr">
        <is>
          <t>Public</t>
        </is>
      </c>
      <c r="U223" s="8" t="inlineStr">
        <is>
          <t>Australia</t>
        </is>
      </c>
      <c r="V223" s="9" t="n">
        <v>2008</v>
      </c>
      <c r="W223" s="10" t="n">
        <v>1737</v>
      </c>
      <c r="X223" s="11" t="n">
        <v>1187.13799999999</v>
      </c>
      <c r="Y223" s="8" t="inlineStr">
        <is>
          <t>Pacific</t>
        </is>
      </c>
      <c r="Z223" s="8" t="inlineStr">
        <is>
          <t>Victoria (VIC)</t>
        </is>
      </c>
      <c r="AA223" s="11" t="n">
        <v>1082.18302667204</v>
      </c>
      <c r="AB223" s="8" t="inlineStr">
        <is>
          <t>Aussie Broadband Ltd. engages in the provision of telecommunications services. It operates through the following segments: Residential, Business, Wholesale, Enterprise and Government, and Symbio. The Residential segment provides telecommunications services to residential users. The Wholesale segment offers telecommunications services to business users. The Enterprise and Government segment is involved with the telecommunications services to large enterprises including those in the public sector. The Symbio segment newly acquired Symbio Group, a Software-as a-service company, that enables innovative communications technologies through its proprietary software platform. The company was founded by Phillip Matthew Britt on July 7, 2008, and is headquartered in Morwell, Australia.</t>
        </is>
      </c>
      <c r="AC223" s="8" t="inlineStr">
        <is>
          <t>Pan-Asia/Pacific Mixed Telecommunications Services</t>
        </is>
      </c>
      <c r="AD223" s="8" t="inlineStr">
        <is>
          <t>General Telecommunications Services</t>
        </is>
      </c>
      <c r="AE223" s="8" t="inlineStr">
        <is>
          <t>Telecommunications</t>
        </is>
      </c>
      <c r="AF223" s="12" t="inlineStr">
        <is>
          <t>Australia/New Zealand Mixed Telecom Services</t>
        </is>
      </c>
      <c r="AH223" t="n">
        <v>234</v>
      </c>
      <c r="AI223" t="n">
        <v>1</v>
      </c>
      <c r="AJ223" t="inlineStr">
        <is>
          <t>,"has 5-star National Australian Built Environment Rating System (NABERS) energy rating, and the"
,"Melbourne office has a 4.5-star NABERS Energy rating, a 39% recycling rate NABERS Water rating and"
,5-star rating in NABERS Indoor Environment.</t>
        </is>
      </c>
      <c r="AK223" t="n">
        <v>4220</v>
      </c>
      <c r="AL223" t="n">
        <v>1</v>
      </c>
      <c r="AM223" t="inlineStr">
        <is>
          <t>Emissions,Emissions (tCo2-e),Percentage
,234.0,0.3%
Scope 1,,</t>
        </is>
      </c>
      <c r="AN223" t="n">
        <v>77085</v>
      </c>
      <c r="AO223" t="n">
        <v>1</v>
      </c>
      <c r="AP223" t="inlineStr">
        <is>
          <t>Emissions,Emissions (tCo2-e),Percentage
,234.0,0.3%
Scope 1,,</t>
        </is>
      </c>
      <c r="AQ223" t="n">
        <v>1</v>
      </c>
      <c r="AR223" t="n">
        <v>0.027659</v>
      </c>
      <c r="AS223" t="n">
        <v>0.000842</v>
      </c>
    </row>
    <row r="224" ht="15" customHeight="1">
      <c r="A224" s="8" t="inlineStr">
        <is>
          <t>CVW-AU</t>
        </is>
      </c>
      <c r="B224" s="8" t="inlineStr">
        <is>
          <t>Clearview Wealth Ltd.</t>
        </is>
      </c>
      <c r="C224" s="8" t="n"/>
      <c r="D224" s="8" t="n"/>
      <c r="E224" s="8" t="n"/>
      <c r="F224" s="8" t="n"/>
      <c r="G224" s="8" t="n"/>
      <c r="H224" s="8" t="n"/>
      <c r="I224" s="8" t="n"/>
      <c r="J224" s="8" t="n"/>
      <c r="K224" s="8" t="n"/>
      <c r="L224" s="8" t="n"/>
      <c r="M224" s="8" t="n"/>
      <c r="N224" s="17" t="n"/>
      <c r="O224" s="17" t="n"/>
      <c r="P224" s="17" t="n"/>
      <c r="Q224" s="17" t="n"/>
      <c r="R224" s="10">
        <f>IFERROR(_xlfn.XLOOKUP($A224,Profitability!$A$5:$A$342,Profitability!$Q$5:$Q$342),"na")</f>
        <v/>
      </c>
      <c r="S224" s="10">
        <f>IFERROR(_xlfn.XLOOKUP($A224,Profitability!$A$5:$A$342,Profitability!$R$5:$R$342),"na")</f>
        <v/>
      </c>
      <c r="T224" s="8" t="inlineStr">
        <is>
          <t>Public</t>
        </is>
      </c>
      <c r="U224" s="8" t="inlineStr">
        <is>
          <t>Australia</t>
        </is>
      </c>
      <c r="V224" s="9" t="n">
        <v>2003</v>
      </c>
      <c r="W224" s="10" t="inlineStr">
        <is>
          <t>-</t>
        </is>
      </c>
      <c r="X224" s="11" t="n">
        <v>407.216</v>
      </c>
      <c r="Y224" s="8" t="inlineStr">
        <is>
          <t>Pacific</t>
        </is>
      </c>
      <c r="Z224" s="8" t="inlineStr">
        <is>
          <t>New South Wales (NSW)</t>
        </is>
      </c>
      <c r="AA224" s="11" t="n">
        <v>1067.07202629961</v>
      </c>
      <c r="AB224" s="8" t="inlineStr">
        <is>
          <t>ClearView Wealth Ltd. is a non-operating holding company, which provides wealth management, life insurance, and integrated financial services. It operates through the Life Insurance and Wealth Management segments. The Life Insurance segment refers to ClearView Life Assurance Limited manufactures ClearView life insurance products under a retail life insurance Australian Financial Services license. The Wealth Management segment consists of ClearView Financial Management Limited, ClearView Life Nominees Pty Limited, and CLAL manufacture investment and retirement solutions under AFS licenses and a registrable superannuation entity trustee license. The company was founded by Simon Swanson in 1976 and is headquartered in Sydney, Australia.</t>
        </is>
      </c>
      <c r="AC224" s="8" t="inlineStr">
        <is>
          <t>Life and Health Insurance</t>
        </is>
      </c>
      <c r="AD224" s="8" t="inlineStr">
        <is>
          <t>Insurance</t>
        </is>
      </c>
      <c r="AE224" s="8" t="inlineStr">
        <is>
          <t>Insurance</t>
        </is>
      </c>
      <c r="AF224" s="12" t="inlineStr">
        <is>
          <t>Life and Health Insurance</t>
        </is>
      </c>
      <c r="AR224" t="n">
        <v>0.038825</v>
      </c>
    </row>
    <row r="225" ht="15" customHeight="1">
      <c r="A225" s="8" t="inlineStr">
        <is>
          <t>EGR-AU</t>
        </is>
      </c>
      <c r="B225" s="8" t="inlineStr">
        <is>
          <t>EcoGraf Ltd.</t>
        </is>
      </c>
      <c r="C225" s="8" t="n"/>
      <c r="D225" s="8" t="n"/>
      <c r="E225" s="8" t="n"/>
      <c r="F225" s="8" t="n"/>
      <c r="G225" s="8" t="n"/>
      <c r="H225" s="8" t="n"/>
      <c r="I225" s="8" t="n"/>
      <c r="J225" s="8" t="n"/>
      <c r="K225" s="8" t="n"/>
      <c r="L225" s="8" t="n"/>
      <c r="M225" s="8" t="n"/>
      <c r="N225" s="17" t="n"/>
      <c r="O225" s="17" t="n"/>
      <c r="P225" s="17" t="n"/>
      <c r="Q225" s="17" t="n"/>
      <c r="R225" s="10">
        <f>IFERROR(_xlfn.XLOOKUP($A225,Profitability!$A$5:$A$342,Profitability!$Q$5:$Q$342),"na")</f>
        <v/>
      </c>
      <c r="S225" s="10">
        <f>IFERROR(_xlfn.XLOOKUP($A225,Profitability!$A$5:$A$342,Profitability!$R$5:$R$342),"na")</f>
        <v/>
      </c>
      <c r="T225" s="8" t="inlineStr">
        <is>
          <t>Public</t>
        </is>
      </c>
      <c r="U225" s="8" t="inlineStr">
        <is>
          <t>Australia</t>
        </is>
      </c>
      <c r="V225" s="9" t="n">
        <v>2005</v>
      </c>
      <c r="W225" s="10" t="n">
        <v>4800</v>
      </c>
      <c r="X225" s="11" t="n">
        <v>0</v>
      </c>
      <c r="Y225" s="8" t="inlineStr">
        <is>
          <t>Pacific</t>
        </is>
      </c>
      <c r="Z225" s="8" t="inlineStr">
        <is>
          <t>Western Australia (WA)</t>
        </is>
      </c>
      <c r="AA225" s="11" t="n">
        <v>55.88699957728</v>
      </c>
      <c r="AB225" s="8" t="inlineStr">
        <is>
          <t>EcoGraf Ltd. engages in the business of building a vertically integrated battery anode materials business to produce high purity graphite products for the lithium-ion battery and advanced manufacturing markets. It operates under the Australia and Tanzania geographical segments. The company was founded on December 22, 2005 and is headquartered in West Perth, Australia.</t>
        </is>
      </c>
      <c r="AC225" s="8" t="inlineStr">
        <is>
          <t>Nonmetallic Mineral Mining</t>
        </is>
      </c>
      <c r="AD225" s="8" t="inlineStr">
        <is>
          <t>Other Mining</t>
        </is>
      </c>
      <c r="AE225" s="8" t="inlineStr">
        <is>
          <t>Mining and Mineral Products</t>
        </is>
      </c>
      <c r="AF225" s="12" t="inlineStr">
        <is>
          <t>Other Nonmetallic Minerals Mining</t>
        </is>
      </c>
    </row>
    <row r="226" ht="15" customHeight="1">
      <c r="A226" s="8" t="inlineStr">
        <is>
          <t>TWE-AU</t>
        </is>
      </c>
      <c r="B226" s="8" t="inlineStr">
        <is>
          <t>Treasury Wine Estates Ltd.</t>
        </is>
      </c>
      <c r="C226" s="8" t="n"/>
      <c r="D226" s="8" t="n"/>
      <c r="E226" s="8" t="n"/>
      <c r="F226" s="8" t="n"/>
      <c r="G226" s="8" t="n"/>
      <c r="H226" s="8" t="n"/>
      <c r="I226" s="8" t="n"/>
      <c r="J226" s="8" t="n"/>
      <c r="K226" s="8" t="n"/>
      <c r="L226" s="8" t="n"/>
      <c r="M226" s="8" t="n"/>
      <c r="N226" s="17" t="n"/>
      <c r="O226" s="17" t="n"/>
      <c r="P226" s="17" t="n"/>
      <c r="Q226" s="17" t="n"/>
      <c r="R226" s="10">
        <f>IFERROR(_xlfn.XLOOKUP($A226,Profitability!$A$5:$A$342,Profitability!$Q$5:$Q$342),"na")</f>
        <v/>
      </c>
      <c r="S226" s="10">
        <f>IFERROR(_xlfn.XLOOKUP($A226,Profitability!$A$5:$A$342,Profitability!$R$5:$R$342),"na")</f>
        <v/>
      </c>
      <c r="T226" s="8" t="inlineStr">
        <is>
          <t>Public</t>
        </is>
      </c>
      <c r="U226" s="8" t="inlineStr">
        <is>
          <t>Australia</t>
        </is>
      </c>
      <c r="V226" s="9" t="n">
        <v>1957</v>
      </c>
      <c r="W226" s="10" t="n">
        <v>2500</v>
      </c>
      <c r="X226" s="11" t="n">
        <v>2990.09999999999</v>
      </c>
      <c r="Y226" s="8" t="inlineStr">
        <is>
          <t>Pacific</t>
        </is>
      </c>
      <c r="Z226" s="8" t="inlineStr">
        <is>
          <t>Victoria (VIC)</t>
        </is>
      </c>
      <c r="AA226" s="11" t="n">
        <v>8524.40021009679</v>
      </c>
      <c r="AB226" s="8" t="inlineStr">
        <is>
          <t>Treasury Wine Estates Ltd. engages in the production and marketing of wine. It operates through the following segments: Treasury Premium Brands, Penfolds, and Treasury Americas. The Treasury Premium Brands segment is responsible for the manufacture, sale and marketing of wine within Australia, Asia, Europe, Canada, Middle East and Africa. The Penfolds segment refers to the manufacture, sale and marketing of Penfolds wine globally. The Treasury Americas segment deals with the manufacture, sale and marketing of wine within North American and Latin Americas regions. The company was founded on March 20, 1957, and is headquartered in Melbourne, Australia.</t>
        </is>
      </c>
      <c r="AC226" s="8" t="inlineStr">
        <is>
          <t>Beverages Production</t>
        </is>
      </c>
      <c r="AD226" s="8" t="inlineStr">
        <is>
          <t>Food and Beverage Production</t>
        </is>
      </c>
      <c r="AE226" s="8" t="inlineStr">
        <is>
          <t>Food and Tobacco Production</t>
        </is>
      </c>
      <c r="AF226" s="12" t="inlineStr">
        <is>
          <t>Alcoholic Beverage Production</t>
        </is>
      </c>
      <c r="AH226" t="n">
        <v>21500</v>
      </c>
      <c r="AI226" t="n">
        <v>1</v>
      </c>
      <c r="AJ226" t="inlineStr">
        <is>
          <t>"Kilotonnes CO2-e
Total scope 1 and 2 CO2-e	emissions	(net)9",30.0,16.2,21.5,-11,,,,,,
,,,,,Female representation,,,,,</t>
        </is>
      </c>
      <c r="AK226" t="n">
        <v>0</v>
      </c>
      <c r="AL226" t="n">
        <v>1</v>
      </c>
      <c r="AM226" t="inlineStr">
        <is>
          <t>,,,,,Develop solutions to known,,&gt;  Our position reflects the progress we have made,"12, 13",See pages
average by 20% (0.43) with a focus,,continued focus on managing hazards that can,,,,,,,
,,,,,challenges to further progress,,"in improving the recyclability of our packaging,",,76–79</t>
        </is>
      </c>
      <c r="AN226" t="n">
        <v>351000</v>
      </c>
      <c r="AO226" t="n">
        <v>1</v>
      </c>
      <c r="AP226" t="inlineStr">
        <is>
          <t>,,,,,Develop solutions to known,,&gt;  Our position reflects the progress we have made,"12, 13",See pages
average by 20% (0.43) with a focus,,continued focus on managing hazards that can,,,,,,,
,,,,,challenges to further progress,,"in improving the recyclability of our packaging,",,76–79</t>
        </is>
      </c>
      <c r="AQ226" t="n">
        <v>12</v>
      </c>
      <c r="AR226" t="n">
        <v>0.146116</v>
      </c>
      <c r="AS226" t="n">
        <v>0.004013</v>
      </c>
    </row>
    <row r="227" ht="15" customHeight="1">
      <c r="A227" s="8" t="inlineStr">
        <is>
          <t>YAL-AU</t>
        </is>
      </c>
      <c r="B227" s="8" t="inlineStr">
        <is>
          <t>Yancoal Australia Ltd.</t>
        </is>
      </c>
      <c r="C227" s="8" t="n"/>
      <c r="D227" s="8" t="n"/>
      <c r="E227" s="8" t="n"/>
      <c r="F227" s="8" t="n"/>
      <c r="G227" s="8" t="n"/>
      <c r="H227" s="8" t="n"/>
      <c r="I227" s="8" t="n"/>
      <c r="J227" s="8" t="n"/>
      <c r="K227" s="8" t="n"/>
      <c r="L227" s="8" t="n"/>
      <c r="M227" s="8" t="n"/>
      <c r="N227" s="17" t="n"/>
      <c r="O227" s="17" t="n"/>
      <c r="P227" s="10" t="n">
        <v>2625260</v>
      </c>
      <c r="Q227" s="10" t="n">
        <v>346491</v>
      </c>
      <c r="R227" s="10">
        <f>IFERROR(_xlfn.XLOOKUP($A227,Profitability!$A$5:$A$342,Profitability!$Q$5:$Q$342),"na")</f>
        <v/>
      </c>
      <c r="S227" s="10">
        <f>IFERROR(_xlfn.XLOOKUP($A227,Profitability!$A$5:$A$342,Profitability!$R$5:$R$342),"na")</f>
        <v/>
      </c>
      <c r="T227" s="8" t="inlineStr">
        <is>
          <t>Public</t>
        </is>
      </c>
      <c r="U227" s="8" t="inlineStr">
        <is>
          <t>Australia</t>
        </is>
      </c>
      <c r="V227" s="9" t="n">
        <v>2004</v>
      </c>
      <c r="W227" s="10" t="n">
        <v>3689</v>
      </c>
      <c r="X227" s="11" t="n">
        <v>6866</v>
      </c>
      <c r="Y227" s="8" t="inlineStr">
        <is>
          <t>Pacific</t>
        </is>
      </c>
      <c r="Z227" s="8" t="inlineStr">
        <is>
          <t>New South Wales (NSW)</t>
        </is>
      </c>
      <c r="AA227" s="11" t="n">
        <v>12744.9996046723</v>
      </c>
      <c r="AB227" s="8" t="inlineStr">
        <is>
          <t>Yancoal Australia Ltd. engages in the identification, development, and operation of coal related resources. The company was founded on November 18, 2004, and is headquartered in Sydney, Australia.</t>
        </is>
      </c>
      <c r="AC227" s="8" t="inlineStr">
        <is>
          <t>Asia/Pacific International Coal Mining</t>
        </is>
      </c>
      <c r="AD227" s="8" t="inlineStr">
        <is>
          <t>Coal and Uranium Mining</t>
        </is>
      </c>
      <c r="AE227" s="8" t="inlineStr">
        <is>
          <t>Upstream Energy</t>
        </is>
      </c>
      <c r="AF227" s="12" t="inlineStr">
        <is>
          <t>Asia/Pacific International Coal Mining</t>
        </is>
      </c>
      <c r="AH227" t="n">
        <v>1819649</v>
      </c>
      <c r="AI227" t="n">
        <v>1</v>
      </c>
      <c r="AJ227" t="inlineStr">
        <is>
          <t>Scope 1 Emissions (tCO2-e),"1,819,649","1,708,856",6%,</t>
        </is>
      </c>
      <c r="AK227" t="n">
        <v>266753</v>
      </c>
      <c r="AL227" t="n">
        <v>1</v>
      </c>
      <c r="AM227" t="inlineStr">
        <is>
          <t>Scope 2 Emissions (tCO2-e),"266,753","260,260",2%,</t>
        </is>
      </c>
      <c r="AQ227" t="n">
        <v>5</v>
      </c>
      <c r="AR227" t="n">
        <v>0.177105</v>
      </c>
      <c r="AS227" t="n">
        <v>0.000728</v>
      </c>
    </row>
    <row r="228" ht="15" customHeight="1">
      <c r="A228" s="8" t="inlineStr">
        <is>
          <t>SGR-AU</t>
        </is>
      </c>
      <c r="B228" s="8" t="inlineStr">
        <is>
          <t>The Star Entertainment Group Ltd.</t>
        </is>
      </c>
      <c r="C228" s="8" t="n"/>
      <c r="D228" s="8" t="n"/>
      <c r="E228" s="8" t="n"/>
      <c r="F228" s="8" t="n"/>
      <c r="G228" s="8" t="n"/>
      <c r="H228" s="8" t="n"/>
      <c r="I228" s="8" t="n"/>
      <c r="J228" s="8" t="n"/>
      <c r="K228" s="8" t="n"/>
      <c r="L228" s="8" t="n"/>
      <c r="M228" s="8" t="n"/>
      <c r="N228" s="17" t="n"/>
      <c r="O228" s="17" t="n"/>
      <c r="P228" s="10" t="n">
        <v>8919</v>
      </c>
      <c r="Q228" s="10" t="n">
        <v>82947</v>
      </c>
      <c r="R228" s="10">
        <f>IFERROR(_xlfn.XLOOKUP($A228,Profitability!$A$5:$A$342,Profitability!$Q$5:$Q$342),"na")</f>
        <v/>
      </c>
      <c r="S228" s="10">
        <f>IFERROR(_xlfn.XLOOKUP($A228,Profitability!$A$5:$A$342,Profitability!$R$5:$R$342),"na")</f>
        <v/>
      </c>
      <c r="T228" s="8" t="inlineStr">
        <is>
          <t>Public</t>
        </is>
      </c>
      <c r="U228" s="8" t="inlineStr">
        <is>
          <t>Australia</t>
        </is>
      </c>
      <c r="V228" s="9" t="n">
        <v>2011</v>
      </c>
      <c r="W228" s="10" t="inlineStr">
        <is>
          <t>-</t>
        </is>
      </c>
      <c r="X228" s="11" t="n">
        <v>1148.3</v>
      </c>
      <c r="Y228" s="8" t="inlineStr">
        <is>
          <t>Pacific</t>
        </is>
      </c>
      <c r="Z228" s="8" t="inlineStr">
        <is>
          <t>Queensland (QLD)</t>
        </is>
      </c>
      <c r="AA228" s="11" t="n">
        <v>1781.10004389791</v>
      </c>
      <c r="AB228" s="8" t="inlineStr">
        <is>
          <t>The Star Entertainment Group Ltd. engages in the management of integrated resorts with gaming, entertainment, and hospitality services. It operates through the following segments: Sydney, Gold Coast, and Brisbane. The Sydney segment offers casino operations, including hotels, restaurants, bars, and other entertainment facilities. The Gold Coast segment consists of casino operations, including hotels, theatre, restaurants, bars, and other entertainment facilities. The Brisbane segment includes casino operations, including hotels, restaurants, and bars. The company was founded on March 2, 2011 and is headquartered in Brisbane, Australia.</t>
        </is>
      </c>
      <c r="AC228" s="8" t="inlineStr">
        <is>
          <t>Arts, Entertainment and Recreation Providers</t>
        </is>
      </c>
      <c r="AD228" s="8" t="inlineStr">
        <is>
          <t>Hospitality Services</t>
        </is>
      </c>
      <c r="AE228" s="8" t="inlineStr">
        <is>
          <t>Hospitality Services</t>
        </is>
      </c>
      <c r="AF228" s="12" t="inlineStr">
        <is>
          <t>Physical and Online Casinos</t>
        </is>
      </c>
      <c r="AR228" t="n">
        <v>-0.372638</v>
      </c>
    </row>
    <row r="229" ht="15" customHeight="1">
      <c r="A229" s="8" t="inlineStr">
        <is>
          <t>CTD-AU</t>
        </is>
      </c>
      <c r="B229" s="8" t="inlineStr">
        <is>
          <t>Corporate Travel Management Ltd.</t>
        </is>
      </c>
      <c r="C229" s="8" t="n"/>
      <c r="D229" s="8" t="n"/>
      <c r="E229" s="8" t="n"/>
      <c r="F229" s="8" t="n"/>
      <c r="G229" s="8" t="n"/>
      <c r="H229" s="8" t="n"/>
      <c r="I229" s="8" t="n"/>
      <c r="J229" s="8" t="n"/>
      <c r="K229" s="8" t="n"/>
      <c r="L229" s="8" t="n"/>
      <c r="M229" s="8" t="n"/>
      <c r="N229" s="17" t="n"/>
      <c r="O229" s="17" t="n"/>
      <c r="P229" s="17" t="n"/>
      <c r="Q229" s="17" t="n"/>
      <c r="R229" s="10">
        <f>IFERROR(_xlfn.XLOOKUP($A229,Profitability!$A$5:$A$342,Profitability!$Q$5:$Q$342),"na")</f>
        <v/>
      </c>
      <c r="S229" s="10">
        <f>IFERROR(_xlfn.XLOOKUP($A229,Profitability!$A$5:$A$342,Profitability!$R$5:$R$342),"na")</f>
        <v/>
      </c>
      <c r="T229" s="8" t="inlineStr">
        <is>
          <t>Public</t>
        </is>
      </c>
      <c r="U229" s="8" t="inlineStr">
        <is>
          <t>Australia</t>
        </is>
      </c>
      <c r="V229" s="9" t="n">
        <v>2008</v>
      </c>
      <c r="W229" s="10" t="n">
        <v>2990</v>
      </c>
      <c r="X229" s="11" t="n">
        <v>707.675</v>
      </c>
      <c r="Y229" s="8" t="inlineStr">
        <is>
          <t>Pacific</t>
        </is>
      </c>
      <c r="Z229" s="8" t="inlineStr">
        <is>
          <t>Queensland (QLD)</t>
        </is>
      </c>
      <c r="AA229" s="11" t="n">
        <v>1682.7849872717</v>
      </c>
      <c r="AB229" s="8" t="inlineStr">
        <is>
          <t>Corporate Travel Management Ltd. engages in managing the procurement and delivery of travel and accommodation agency services for its clients. It operates through the following geographical segments: Australia and New Zealand, North America, Asia, Europe, and Other. The Other segment refers to the group’s support service, created to support the operating segments, and growth of the global business. The company was founded by James Michael Pherous in 1994 and is headquartered in Brisbane, Australia.</t>
        </is>
      </c>
      <c r="AC229" s="8" t="inlineStr">
        <is>
          <t>Travel Arrangement and Reservation Services</t>
        </is>
      </c>
      <c r="AD229" s="8" t="inlineStr">
        <is>
          <t>Hospitality Services</t>
        </is>
      </c>
      <c r="AE229" s="8" t="inlineStr">
        <is>
          <t>Hospitality Services</t>
        </is>
      </c>
      <c r="AF229" s="12" t="inlineStr">
        <is>
          <t>Travel Agencies</t>
        </is>
      </c>
      <c r="AH229" t="n">
        <v>0</v>
      </c>
      <c r="AI229" t="n">
        <v>0.9</v>
      </c>
      <c r="AJ229" t="inlineStr">
        <is>
          <t>tCO2e - 1,833.3</t>
        </is>
      </c>
      <c r="AK229" t="n">
        <v>1833</v>
      </c>
      <c r="AL229" t="n">
        <v>0.9</v>
      </c>
      <c r="AM229" t="inlineStr">
        <is>
          <t>Scope 2 - Purchased Electricity,363.7,"1,078.4",47.4 5,343.8,"1,833.3"</t>
        </is>
      </c>
      <c r="AN229" t="n">
        <v>11319</v>
      </c>
      <c r="AO229" t="n">
        <v>0.9</v>
      </c>
      <c r="AP229" t="inlineStr">
        <is>
          <t>REF,OPPORTUNITY TYPE,,OPPORTUNITY DESCRIPTION,TARGET
0.1,Energy Source,Participation in the,Drive proactive policies and strategic,100% Net Zero for Scope 2 Electricity
,,carbon market,planning to reduce carbon footprint,consumption in 2030</t>
        </is>
      </c>
      <c r="AQ229" t="n">
        <v>4</v>
      </c>
      <c r="AR229" t="n">
        <v>0.119337</v>
      </c>
      <c r="AS229" t="n">
        <v>0.005652</v>
      </c>
    </row>
    <row r="230" ht="15" customHeight="1">
      <c r="A230" s="8" t="inlineStr">
        <is>
          <t>MYX-AU</t>
        </is>
      </c>
      <c r="B230" s="8" t="inlineStr">
        <is>
          <t>Mayne Pharma Group Ltd.</t>
        </is>
      </c>
      <c r="C230" s="8" t="n"/>
      <c r="D230" s="8" t="n"/>
      <c r="E230" s="8" t="n"/>
      <c r="F230" s="8" t="n"/>
      <c r="G230" s="8" t="n"/>
      <c r="H230" s="8" t="n"/>
      <c r="I230" s="8" t="n"/>
      <c r="J230" s="8" t="n"/>
      <c r="K230" s="8" t="n"/>
      <c r="L230" s="8" t="n"/>
      <c r="M230" s="8" t="n"/>
      <c r="N230" s="17" t="n"/>
      <c r="O230" s="17" t="n"/>
      <c r="P230" s="17" t="n"/>
      <c r="Q230" s="17" t="n"/>
      <c r="R230" s="10">
        <f>IFERROR(_xlfn.XLOOKUP($A230,Profitability!$A$5:$A$342,Profitability!$Q$5:$Q$342),"na")</f>
        <v/>
      </c>
      <c r="S230" s="10">
        <f>IFERROR(_xlfn.XLOOKUP($A230,Profitability!$A$5:$A$342,Profitability!$R$5:$R$342),"na")</f>
        <v/>
      </c>
      <c r="T230" s="8" t="inlineStr">
        <is>
          <t>Public</t>
        </is>
      </c>
      <c r="U230" s="8" t="inlineStr">
        <is>
          <t>Australia</t>
        </is>
      </c>
      <c r="V230" s="9" t="n">
        <v>2005</v>
      </c>
      <c r="W230" s="10" t="inlineStr">
        <is>
          <t>-</t>
        </is>
      </c>
      <c r="X230" s="11" t="n">
        <v>408.095</v>
      </c>
      <c r="Y230" s="8" t="inlineStr">
        <is>
          <t>Pacific</t>
        </is>
      </c>
      <c r="Z230" s="8" t="inlineStr">
        <is>
          <t>South Australia (SA)</t>
        </is>
      </c>
      <c r="AA230" s="11" t="n">
        <v>1014.60502500648</v>
      </c>
      <c r="AB230" s="8" t="inlineStr">
        <is>
          <t>Mayne Pharma Group Ltd. engages in the development and manufacture of proprietary and generic products. It operates through the following segments: Generic Products, Specialty Products, Metrics Contract Services, and Mayne Pharma International. The Generic Products segment is involved in the manufacture and distribution of generic and branded pharmaceutical products. The Metrics Contract Services segment provides contract pharmaceutical services. The Specialty Products segment includes the distribution of branded pharmaceutical products. The Mayne Pharma International segment manufactures and sells branded and generic pharmaceutical products and provides contract manufacturing services to third party customers within Australia. The company was founded in 1845 and is headquartered in Salisbury, Australia.</t>
        </is>
      </c>
      <c r="AC230" s="8" t="inlineStr">
        <is>
          <t>Diversified Biopharmaceuticals</t>
        </is>
      </c>
      <c r="AD230" s="8" t="inlineStr">
        <is>
          <t>Other Biopharmaceuticals</t>
        </is>
      </c>
      <c r="AE230" s="8" t="inlineStr">
        <is>
          <t>Biopharmaceuticals</t>
        </is>
      </c>
      <c r="AF230" s="12" t="inlineStr">
        <is>
          <t>Diversified Biopharmaceuticals</t>
        </is>
      </c>
      <c r="AR230" t="n">
        <v>-0.220711</v>
      </c>
    </row>
    <row r="231" ht="15" customHeight="1">
      <c r="A231" s="8" t="inlineStr">
        <is>
          <t>ADH-AU</t>
        </is>
      </c>
      <c r="B231" s="8" t="inlineStr">
        <is>
          <t>Adairs Ltd.</t>
        </is>
      </c>
      <c r="C231" s="8" t="n"/>
      <c r="D231" s="8" t="n"/>
      <c r="E231" s="8" t="n"/>
      <c r="F231" s="8" t="n"/>
      <c r="G231" s="8" t="n"/>
      <c r="H231" s="8" t="n"/>
      <c r="I231" s="8" t="n"/>
      <c r="J231" s="8" t="n"/>
      <c r="K231" s="8" t="n"/>
      <c r="L231" s="8" t="n"/>
      <c r="M231" s="8" t="n"/>
      <c r="N231" s="17" t="n"/>
      <c r="O231" s="17" t="n"/>
      <c r="P231" s="17" t="n"/>
      <c r="Q231" s="17" t="n"/>
      <c r="R231" s="10">
        <f>IFERROR(_xlfn.XLOOKUP($A231,Profitability!$A$5:$A$342,Profitability!$Q$5:$Q$342),"na")</f>
        <v/>
      </c>
      <c r="S231" s="10">
        <f>IFERROR(_xlfn.XLOOKUP($A231,Profitability!$A$5:$A$342,Profitability!$R$5:$R$342),"na")</f>
        <v/>
      </c>
      <c r="T231" s="8" t="inlineStr">
        <is>
          <t>Public</t>
        </is>
      </c>
      <c r="U231" s="8" t="inlineStr">
        <is>
          <t>Australia</t>
        </is>
      </c>
      <c r="V231" s="9" t="n">
        <v>2010</v>
      </c>
      <c r="W231" s="10" t="inlineStr">
        <is>
          <t>-</t>
        </is>
      </c>
      <c r="X231" s="11" t="n">
        <v>618.1203275054841</v>
      </c>
      <c r="Y231" s="8" t="inlineStr">
        <is>
          <t>Pacific</t>
        </is>
      </c>
      <c r="Z231" s="8" t="inlineStr">
        <is>
          <t>Victoria (VIC)</t>
        </is>
      </c>
      <c r="AA231" s="11" t="n">
        <v>658.509309198713</v>
      </c>
      <c r="AB231" s="8" t="inlineStr">
        <is>
          <t>Adairs Ltd. is engaged in retail operations in thef manchester and homewares. Its retail brands include Adairs, Adairs Kids, and Urban Home Republic. The company was founded in 1981 and is headquartered in Melbourne, Australia.</t>
        </is>
      </c>
      <c r="AC231" s="8" t="inlineStr">
        <is>
          <t>Furniture and Home Furnishings Stores</t>
        </is>
      </c>
      <c r="AD231" s="8" t="inlineStr">
        <is>
          <t>Home Improvement Retail</t>
        </is>
      </c>
      <c r="AE231" s="8" t="inlineStr">
        <is>
          <t>Consumer Retail</t>
        </is>
      </c>
      <c r="AF231" s="12" t="inlineStr">
        <is>
          <t>Home Decor and Furnishings Stores</t>
        </is>
      </c>
      <c r="AQ231" t="n">
        <v>1</v>
      </c>
      <c r="AR231" t="n">
        <v>0.04155</v>
      </c>
      <c r="AS231" t="n">
        <v>0.001618</v>
      </c>
    </row>
    <row r="232" ht="15" customHeight="1">
      <c r="A232" s="8" t="inlineStr">
        <is>
          <t>SDR-AU</t>
        </is>
      </c>
      <c r="B232" s="8" t="inlineStr">
        <is>
          <t>SiteMinder Ltd.</t>
        </is>
      </c>
      <c r="C232" s="8" t="n"/>
      <c r="D232" s="8" t="n"/>
      <c r="E232" s="8" t="n"/>
      <c r="F232" s="8" t="n"/>
      <c r="G232" s="8" t="n"/>
      <c r="H232" s="8" t="n"/>
      <c r="I232" s="8" t="n"/>
      <c r="J232" s="8" t="n"/>
      <c r="K232" s="8" t="n"/>
      <c r="L232" s="8" t="n"/>
      <c r="M232" s="8" t="n"/>
      <c r="N232" s="17" t="n"/>
      <c r="O232" s="17" t="n"/>
      <c r="P232" s="17" t="n"/>
      <c r="Q232" s="17" t="n"/>
      <c r="R232" s="10">
        <f>IFERROR(_xlfn.XLOOKUP($A232,Profitability!$A$5:$A$342,Profitability!$Q$5:$Q$342),"na")</f>
        <v/>
      </c>
      <c r="S232" s="10">
        <f>IFERROR(_xlfn.XLOOKUP($A232,Profitability!$A$5:$A$342,Profitability!$R$5:$R$342),"na")</f>
        <v/>
      </c>
      <c r="T232" s="8" t="inlineStr">
        <is>
          <t>Public</t>
        </is>
      </c>
      <c r="U232" s="8" t="inlineStr">
        <is>
          <t>Australia</t>
        </is>
      </c>
      <c r="V232" s="9" t="n">
        <v>2006</v>
      </c>
      <c r="W232" s="10" t="n">
        <v>1157</v>
      </c>
      <c r="X232" s="11" t="n">
        <v>224.327</v>
      </c>
      <c r="Y232" s="8" t="inlineStr">
        <is>
          <t>Pacific</t>
        </is>
      </c>
      <c r="Z232" s="8" t="inlineStr">
        <is>
          <t>New South Wales (NSW)</t>
        </is>
      </c>
      <c r="AA232" s="11" t="n">
        <v>128.683003171588</v>
      </c>
      <c r="AB232" s="8" t="inlineStr">
        <is>
          <t>SiteMinder Ltd. operates as an open hotel commerce platform. It offers hotels and accommodation providers a comprehensive range of products and solutions to manage and streamline the distribution of rooms across a wide selection of direct and indirect channels, take bookings from guests and communicate with guests. The firm products include TheBookingButton, SiteMinder, and Canvas Website builder. Its Internet-based software helps hotels sell its rooms in accommodation booking sites. The company was founded by Mike Ford and Mike Rogers in 2006 and is headquartered in Millers Point, Australia.</t>
        </is>
      </c>
      <c r="AC232" s="8" t="inlineStr">
        <is>
          <t>Accommodation Providers</t>
        </is>
      </c>
      <c r="AD232" s="8" t="inlineStr">
        <is>
          <t>Hospitality Services</t>
        </is>
      </c>
      <c r="AE232" s="8" t="inlineStr">
        <is>
          <t>Hospitality Services</t>
        </is>
      </c>
      <c r="AF232" s="12" t="inlineStr">
        <is>
          <t>Hospitality Industry Software</t>
        </is>
      </c>
      <c r="AH232" t="n">
        <v>0</v>
      </c>
      <c r="AJ232" t="inlineStr">
        <is>
          <t>Scope 1 emissions are zero [21, 22]. Scope 2 reflects reduction due to transition to 100% GreenPower in Sydney office [21, 23]. Scope 3 emissions for CY23 [21].</t>
        </is>
      </c>
      <c r="AK232" t="n">
        <v>119</v>
      </c>
      <c r="AM232" t="inlineStr">
        <is>
          <t>Scope 1 emissions are zero [21, 22]. Scope 2 reflects reduction due to transition to 100% GreenPower in Sydney office [21, 23]. Scope 3 emissions for CY23 [21].</t>
        </is>
      </c>
      <c r="AN232" t="n">
        <v>4763</v>
      </c>
      <c r="AP232" t="inlineStr">
        <is>
          <t>Scope 1 emissions are zero [21, 22]. Scope 2 reflects reduction due to transition to 100% GreenPower in Sydney office [21, 23]. Scope 3 emissions for CY23 [21].</t>
        </is>
      </c>
      <c r="AR232" t="n">
        <v>-0.109256</v>
      </c>
    </row>
    <row r="233" ht="15" customHeight="1">
      <c r="A233" s="8" t="inlineStr">
        <is>
          <t>OFX-AU</t>
        </is>
      </c>
      <c r="B233" s="8" t="inlineStr">
        <is>
          <t>OFX Group Ltd.</t>
        </is>
      </c>
      <c r="C233" s="8" t="n"/>
      <c r="D233" s="8" t="n"/>
      <c r="E233" s="8" t="n"/>
      <c r="F233" s="8" t="n"/>
      <c r="G233" s="8" t="n"/>
      <c r="H233" s="8" t="n"/>
      <c r="I233" s="8" t="n"/>
      <c r="J233" s="8" t="n"/>
      <c r="K233" s="8" t="n"/>
      <c r="L233" s="8" t="n"/>
      <c r="M233" s="8" t="n"/>
      <c r="N233" s="17" t="n"/>
      <c r="O233" s="17" t="n"/>
      <c r="P233" s="17" t="n"/>
      <c r="Q233" s="17" t="n"/>
      <c r="R233" s="10">
        <f>IFERROR(_xlfn.XLOOKUP($A233,Profitability!$A$5:$A$342,Profitability!$Q$5:$Q$342),"na")</f>
        <v/>
      </c>
      <c r="S233" s="10">
        <f>IFERROR(_xlfn.XLOOKUP($A233,Profitability!$A$5:$A$342,Profitability!$R$5:$R$342),"na")</f>
        <v/>
      </c>
      <c r="T233" s="8" t="inlineStr">
        <is>
          <t>Public</t>
        </is>
      </c>
      <c r="U233" s="8" t="inlineStr">
        <is>
          <t>Australia</t>
        </is>
      </c>
      <c r="V233" s="9" t="n">
        <v>2013</v>
      </c>
      <c r="W233" s="10" t="n">
        <v>692</v>
      </c>
      <c r="X233" s="11" t="n">
        <v>231.365</v>
      </c>
      <c r="Y233" s="8" t="inlineStr">
        <is>
          <t>Pacific</t>
        </is>
      </c>
      <c r="Z233" s="8" t="inlineStr">
        <is>
          <t>New South Wales (NSW)</t>
        </is>
      </c>
      <c r="AA233" s="11" t="n">
        <v>583.549008358171</v>
      </c>
      <c r="AB233" s="8" t="inlineStr">
        <is>
          <t>OFX Group Ltd. engages in providing international payment and foreign exchange services. It also provides international payment solutions to partner companies which assist them to offer international payment services to their end-users. The firm operates through following segments: Consumer, Corporate, Enterprise, and Online Sellers. The company was founded by Matthew Gilmour in 1998 and is headquartered in Sydney, Australia.</t>
        </is>
      </c>
      <c r="AC233" s="8" t="inlineStr">
        <is>
          <t>Consumer Finance Services</t>
        </is>
      </c>
      <c r="AD233" s="8" t="inlineStr">
        <is>
          <t>Specialty Finance</t>
        </is>
      </c>
      <c r="AE233" s="8" t="inlineStr">
        <is>
          <t>Specialty Finance and Services</t>
        </is>
      </c>
      <c r="AF233" s="12" t="inlineStr">
        <is>
          <t>Electronic Transaction Processing/Clearinghouses</t>
        </is>
      </c>
      <c r="AH233" t="n">
        <v>0</v>
      </c>
      <c r="AJ233" t="inlineStr">
        <is>
          <t>Scope 1 emissions are zero [15]. Scope 2 uses market-based methodology where available [15, 16]. Scope 3 emissions reported for 2025 [15].</t>
        </is>
      </c>
      <c r="AK233" t="n">
        <v>57</v>
      </c>
      <c r="AM233" t="inlineStr">
        <is>
          <t>Scope 1 emissions are zero [15]. Scope 2 uses market-based methodology where available [15, 16]. Scope 3 emissions reported for 2025 [15].</t>
        </is>
      </c>
      <c r="AN233" t="n">
        <v>7074</v>
      </c>
      <c r="AP233" t="inlineStr">
        <is>
          <t>Scope 1 emissions are zero [15]. Scope 2 uses market-based methodology where available [15, 16]. Scope 3 emissions reported for 2025 [15].</t>
        </is>
      </c>
      <c r="AR233" t="n">
        <v>0.107458</v>
      </c>
    </row>
    <row r="234" ht="15" customHeight="1">
      <c r="A234" s="8" t="inlineStr">
        <is>
          <t>DDR-AU</t>
        </is>
      </c>
      <c r="B234" s="8" t="inlineStr">
        <is>
          <t>Dicker Data Ltd.</t>
        </is>
      </c>
      <c r="C234" s="8" t="n"/>
      <c r="D234" s="8" t="n"/>
      <c r="E234" s="8" t="n"/>
      <c r="F234" s="8" t="n"/>
      <c r="G234" s="8" t="n"/>
      <c r="H234" s="8" t="n"/>
      <c r="I234" s="8" t="n"/>
      <c r="J234" s="8" t="n"/>
      <c r="K234" s="8" t="n"/>
      <c r="L234" s="8" t="n"/>
      <c r="M234" s="8" t="n"/>
      <c r="N234" s="17" t="n"/>
      <c r="O234" s="17" t="n"/>
      <c r="P234" s="17" t="n"/>
      <c r="Q234" s="17" t="n"/>
      <c r="R234" s="10">
        <f>IFERROR(_xlfn.XLOOKUP($A234,Profitability!$A$5:$A$342,Profitability!$Q$5:$Q$342),"na")</f>
        <v/>
      </c>
      <c r="S234" s="10">
        <f>IFERROR(_xlfn.XLOOKUP($A234,Profitability!$A$5:$A$342,Profitability!$R$5:$R$342),"na")</f>
        <v/>
      </c>
      <c r="T234" s="8" t="inlineStr">
        <is>
          <t>Public</t>
        </is>
      </c>
      <c r="U234" s="8" t="inlineStr">
        <is>
          <t>Australia</t>
        </is>
      </c>
      <c r="V234" s="9" t="n">
        <v>1972</v>
      </c>
      <c r="W234" s="10" t="n">
        <v>893</v>
      </c>
      <c r="X234" s="11" t="n">
        <v>2272.77699999999</v>
      </c>
      <c r="Y234" s="8" t="inlineStr">
        <is>
          <t>Pacific</t>
        </is>
      </c>
      <c r="Z234" s="8" t="inlineStr">
        <is>
          <t>New South Wales (NSW)</t>
        </is>
      </c>
      <c r="AA234" s="11" t="n">
        <v>1061.89896706174</v>
      </c>
      <c r="AB234" s="8" t="inlineStr">
        <is>
          <t>Dicker Data Ltd. engages in the distribution of information technology hardware, software, cloud, and emerging technology solutions for corporate and commercial market. It operates under the Australia and New Zealand geographical segments. The company was founded by Fiona Tudor Brown and David John Dicker on July 1, 1978 and is headquartered in Kurnell, Australia.</t>
        </is>
      </c>
      <c r="AC234" s="8" t="inlineStr">
        <is>
          <t>Electronics Retail</t>
        </is>
      </c>
      <c r="AD234" s="8" t="inlineStr">
        <is>
          <t>Electronics and Entertainment Retail</t>
        </is>
      </c>
      <c r="AE234" s="8" t="inlineStr">
        <is>
          <t>Consumer Retail</t>
        </is>
      </c>
      <c r="AF234" s="12" t="inlineStr">
        <is>
          <t>Computer and Software Stores</t>
        </is>
      </c>
      <c r="AR234" t="n">
        <v>0.034625</v>
      </c>
    </row>
    <row r="235" ht="15" customHeight="1">
      <c r="A235" s="8" t="inlineStr">
        <is>
          <t>KLS-AU</t>
        </is>
      </c>
      <c r="B235" s="8" t="inlineStr">
        <is>
          <t>Kelsian Group Ltd.</t>
        </is>
      </c>
      <c r="C235" s="8" t="n"/>
      <c r="D235" s="8" t="n"/>
      <c r="E235" s="8" t="n"/>
      <c r="F235" s="8" t="n"/>
      <c r="G235" s="8" t="n"/>
      <c r="H235" s="8" t="n"/>
      <c r="I235" s="8" t="n"/>
      <c r="J235" s="8" t="n"/>
      <c r="K235" s="8" t="n"/>
      <c r="L235" s="8" t="n"/>
      <c r="M235" s="8" t="n"/>
      <c r="N235" s="17" t="n"/>
      <c r="O235" s="17" t="n"/>
      <c r="P235" s="10" t="n">
        <v>249233</v>
      </c>
      <c r="Q235" s="10" t="n">
        <v>10989</v>
      </c>
      <c r="R235" s="10">
        <f>IFERROR(_xlfn.XLOOKUP($A235,Profitability!$A$5:$A$342,Profitability!$Q$5:$Q$342),"na")</f>
        <v/>
      </c>
      <c r="S235" s="10">
        <f>IFERROR(_xlfn.XLOOKUP($A235,Profitability!$A$5:$A$342,Profitability!$R$5:$R$342),"na")</f>
        <v/>
      </c>
      <c r="T235" s="8" t="inlineStr">
        <is>
          <t>Public</t>
        </is>
      </c>
      <c r="U235" s="8" t="inlineStr">
        <is>
          <t>Australia</t>
        </is>
      </c>
      <c r="V235" s="9" t="n">
        <v>2004</v>
      </c>
      <c r="W235" s="10" t="n">
        <v>12800</v>
      </c>
      <c r="X235" s="11" t="n">
        <v>2208.90899999999</v>
      </c>
      <c r="Y235" s="8" t="inlineStr">
        <is>
          <t>Pacific</t>
        </is>
      </c>
      <c r="Z235" s="8" t="inlineStr">
        <is>
          <t>South Australia (SA)</t>
        </is>
      </c>
      <c r="AA235" s="11" t="n">
        <v>2499.4730616033</v>
      </c>
      <c r="AB235" s="8" t="inlineStr">
        <is>
          <t>Kelsian Group Ltd. engages in the provision of multi-modal transportation and tourism services. It operates through the following segments: Marine and Tourism; Australian Bus; International Bus; and Corporate. The Marine and Tourism segment focuses on vehicle and passenger ferry services, barging, coach tours, and package holidays, lunch, dinner, and charter cruises, and accommodation facilities. The Australian Bus segment provides metropolitan public bus services in Sydney, Melbourne, Perth, Adelaide, and Darwin. The International Bus segment includes bus services in London and Singapore. The Corporate segment is involved in finance, domestic, and international sales and marketing, information and technology, business development, fleet management, health and safety, and administration and risk management support. The company was founded in 1989 and is headquartered in Adelaide, Australia.</t>
        </is>
      </c>
      <c r="AC235" s="8" t="inlineStr">
        <is>
          <t>Other Passenger Transportation</t>
        </is>
      </c>
      <c r="AD235" s="8" t="inlineStr">
        <is>
          <t>Passenger Transportation</t>
        </is>
      </c>
      <c r="AE235" s="8" t="inlineStr">
        <is>
          <t>Industrial Services</t>
        </is>
      </c>
      <c r="AF235" s="12" t="inlineStr">
        <is>
          <t>Bus Transportation</t>
        </is>
      </c>
      <c r="AH235" t="n">
        <v>358749</v>
      </c>
      <c r="AI235" t="n">
        <v>1</v>
      </c>
      <c r="AJ235" t="inlineStr">
        <is>
          <t>,commuter behaviour.
transport sector accounts for 23% of global carbon emissions.4,
"Despite the challenge, decarbonising the transport sector presents",•  Service Frequency and Reliability: While operations vary across</t>
        </is>
      </c>
      <c r="AK235" t="n">
        <v>15765</v>
      </c>
      <c r="AL235" t="n">
        <v>1</v>
      </c>
      <c r="AM235" t="inlineStr">
        <is>
          <t>FINES,,,
Number of fines for non-compliance with environmental regulations,0,0,0
GREENHOUSE GAS EMISSIONS BY COUNTRY,,,</t>
        </is>
      </c>
      <c r="AN235" t="n">
        <v>0</v>
      </c>
      <c r="AQ235" t="n">
        <v>1</v>
      </c>
      <c r="AR235" t="n">
        <v>0.02467</v>
      </c>
      <c r="AS235" t="n">
        <v>0.000453</v>
      </c>
    </row>
    <row r="236" ht="15" customHeight="1">
      <c r="A236" s="8" t="inlineStr">
        <is>
          <t>AFG-AU</t>
        </is>
      </c>
      <c r="B236" s="8" t="inlineStr">
        <is>
          <t>Australian Finance Group Ltd.</t>
        </is>
      </c>
      <c r="C236" s="8" t="n"/>
      <c r="D236" s="8" t="n"/>
      <c r="E236" s="8" t="n"/>
      <c r="F236" s="8" t="n"/>
      <c r="G236" s="8" t="n"/>
      <c r="H236" s="8" t="n"/>
      <c r="I236" s="8" t="n"/>
      <c r="J236" s="8" t="n"/>
      <c r="K236" s="8" t="n"/>
      <c r="L236" s="8" t="n"/>
      <c r="M236" s="8" t="n"/>
      <c r="N236" s="17" t="n"/>
      <c r="O236" s="17" t="n"/>
      <c r="P236" s="17" t="n"/>
      <c r="Q236" s="17" t="n"/>
      <c r="R236" s="10">
        <f>IFERROR(_xlfn.XLOOKUP($A236,Profitability!$A$5:$A$342,Profitability!$Q$5:$Q$342),"na")</f>
        <v/>
      </c>
      <c r="S236" s="10">
        <f>IFERROR(_xlfn.XLOOKUP($A236,Profitability!$A$5:$A$342,Profitability!$R$5:$R$342),"na")</f>
        <v/>
      </c>
      <c r="T236" s="8" t="inlineStr">
        <is>
          <t>Public</t>
        </is>
      </c>
      <c r="U236" s="8" t="inlineStr">
        <is>
          <t>Australia</t>
        </is>
      </c>
      <c r="V236" s="9" t="n">
        <v>1994</v>
      </c>
      <c r="W236" s="10" t="n">
        <v>318</v>
      </c>
      <c r="X236" s="11" t="n">
        <v>1254.7</v>
      </c>
      <c r="Y236" s="8" t="inlineStr">
        <is>
          <t>Pacific</t>
        </is>
      </c>
      <c r="Z236" s="8" t="inlineStr">
        <is>
          <t>Western Australia (WA)</t>
        </is>
      </c>
      <c r="AA236" s="11" t="n">
        <v>7067.50017418927</v>
      </c>
      <c r="AB236" s="8" t="inlineStr">
        <is>
          <t>Australian Finance Group Ltd. engages in the provision of mortgage brokerage business. It operates through the Aggregation and AFG Home Loans segments. The Aggregation segment is involved in operating activities in which the group acts as a wholesale mortgage broker that provides its contracted brokers with administrative and infrastructure support as well as access to a panel of lenders. The AFG Home Loans segment focuses on the group’s branded mortgage products, funded by third party wholesale funding providers and AFG Securities mortgages that are distributed through the group’s broker network. The company was founded by Bradley Mcgougan, Brett McKeon, Malcolm Watkins and Kevin Matthews on September 27, 1994 and is headquartered in West Perth, Australia.</t>
        </is>
      </c>
      <c r="AC236" s="8" t="inlineStr">
        <is>
          <t>Mortgage Banking</t>
        </is>
      </c>
      <c r="AD236" s="8" t="inlineStr">
        <is>
          <t>Mortgage Banking</t>
        </is>
      </c>
      <c r="AE236" s="8" t="inlineStr">
        <is>
          <t>Banking</t>
        </is>
      </c>
      <c r="AF236" s="12" t="inlineStr">
        <is>
          <t>Other Mortgage Banking Services</t>
        </is>
      </c>
      <c r="AH236" t="n">
        <v>1</v>
      </c>
      <c r="AI236" t="n">
        <v>1</v>
      </c>
      <c r="AJ236" t="inlineStr">
        <is>
          <t>Percentage"
Scope 1,"1.26
0.1"</t>
        </is>
      </c>
      <c r="AK236" t="n">
        <v>115</v>
      </c>
      <c r="AL236" t="n">
        <v>1</v>
      </c>
      <c r="AM236" t="inlineStr">
        <is>
          <t>0.1"
Scope 2,"115.36
9.1"</t>
        </is>
      </c>
      <c r="AN236" t="n">
        <v>1149</v>
      </c>
      <c r="AO236" t="n">
        <v>1</v>
      </c>
      <c r="AP236" t="inlineStr">
        <is>
          <t>0,,,,,
Scope 1,Scope 2,Scope 3,,,throughout the year.</t>
        </is>
      </c>
      <c r="AQ236" t="n">
        <v>1</v>
      </c>
      <c r="AR236" t="n">
        <v>0.027895</v>
      </c>
      <c r="AS236" t="n">
        <v>0.000797</v>
      </c>
    </row>
    <row r="237" ht="15" customHeight="1">
      <c r="A237" s="8" t="inlineStr">
        <is>
          <t>AIS-AU</t>
        </is>
      </c>
      <c r="B237" s="8" t="inlineStr">
        <is>
          <t>Aeris Resources Ltd.</t>
        </is>
      </c>
      <c r="C237" s="8" t="n"/>
      <c r="D237" s="8" t="n"/>
      <c r="E237" s="8" t="n"/>
      <c r="F237" s="8" t="n"/>
      <c r="G237" s="8" t="n"/>
      <c r="H237" s="8" t="n"/>
      <c r="I237" s="8" t="n"/>
      <c r="J237" s="8" t="n"/>
      <c r="K237" s="8" t="n"/>
      <c r="L237" s="8" t="n"/>
      <c r="M237" s="8" t="n"/>
      <c r="N237" s="17" t="n"/>
      <c r="O237" s="17" t="n"/>
      <c r="P237" s="10" t="n">
        <v>56351</v>
      </c>
      <c r="Q237" s="10" t="n">
        <v>93362</v>
      </c>
      <c r="R237" s="10">
        <f>IFERROR(_xlfn.XLOOKUP($A237,Profitability!$A$5:$A$342,Profitability!$Q$5:$Q$342),"na")</f>
        <v/>
      </c>
      <c r="S237" s="10">
        <f>IFERROR(_xlfn.XLOOKUP($A237,Profitability!$A$5:$A$342,Profitability!$R$5:$R$342),"na")</f>
        <v/>
      </c>
      <c r="T237" s="8" t="inlineStr">
        <is>
          <t>Public</t>
        </is>
      </c>
      <c r="U237" s="8" t="inlineStr">
        <is>
          <t>Australia</t>
        </is>
      </c>
      <c r="V237" s="9" t="n">
        <v>2010</v>
      </c>
      <c r="W237" s="10" t="inlineStr">
        <is>
          <t>-</t>
        </is>
      </c>
      <c r="X237" s="11" t="n">
        <v>575.837</v>
      </c>
      <c r="Y237" s="8" t="inlineStr">
        <is>
          <t>Pacific</t>
        </is>
      </c>
      <c r="Z237" s="8" t="inlineStr">
        <is>
          <t>Queensland (QLD)</t>
        </is>
      </c>
      <c r="AA237" s="11" t="n">
        <v>608.64701500103</v>
      </c>
      <c r="AB237" s="8" t="inlineStr">
        <is>
          <t>Aeris Resources Ltd. engages in the production, exploration, and sale of copper, gold and silver. The company operates through the following segments: Tritton, Cracow, North Queensland, Jaguar, Stockman, and Other. The company was founded on November 1, 2010, and is headquartered in Brisbane, Australia.</t>
        </is>
      </c>
      <c r="AC237" s="8" t="inlineStr">
        <is>
          <t>Base Metal Mining</t>
        </is>
      </c>
      <c r="AD237" s="8" t="inlineStr">
        <is>
          <t>Metal Ore Mining</t>
        </is>
      </c>
      <c r="AE237" s="8" t="inlineStr">
        <is>
          <t>Mining and Mineral Products</t>
        </is>
      </c>
      <c r="AF237" s="12" t="inlineStr">
        <is>
          <t>Non-Ferrous Metal Ore Mining</t>
        </is>
      </c>
      <c r="AH237" t="n">
        <v>55371</v>
      </c>
      <c r="AI237" t="n">
        <v>1</v>
      </c>
      <c r="AJ237" t="inlineStr">
        <is>
          <t>,Tritton,Cracow,Jaguar,Queensland,(Head Office),Total
Scope 1,"23,781","10,711","11,619","9,260",-,"55,371"
(tCO2-e),,,,,,</t>
        </is>
      </c>
      <c r="AK237" t="n">
        <v>95445</v>
      </c>
      <c r="AL237" t="n">
        <v>1</v>
      </c>
      <c r="AM237" t="inlineStr">
        <is>
          <t>(tCO2-e),,,,,,
Scope 2,"57,095","38,330",-,-,20,"95,445"
(tCO2-e),,,,,,</t>
        </is>
      </c>
      <c r="AN237" t="n">
        <v>0</v>
      </c>
      <c r="AQ237" t="n">
        <v>0</v>
      </c>
      <c r="AR237" t="n">
        <v>0.078498</v>
      </c>
      <c r="AS237" t="n">
        <v>0</v>
      </c>
    </row>
    <row r="238" ht="15" customHeight="1">
      <c r="A238" s="8" t="inlineStr">
        <is>
          <t>GNG-AU</t>
        </is>
      </c>
      <c r="B238" s="8" t="inlineStr">
        <is>
          <t>GR Engineering Services Ltd.</t>
        </is>
      </c>
      <c r="C238" s="8" t="n"/>
      <c r="D238" s="8" t="n"/>
      <c r="E238" s="8" t="n"/>
      <c r="F238" s="8" t="n"/>
      <c r="G238" s="8" t="n"/>
      <c r="H238" s="8" t="n"/>
      <c r="I238" s="8" t="n"/>
      <c r="J238" s="8" t="n"/>
      <c r="K238" s="8" t="n"/>
      <c r="L238" s="8" t="n"/>
      <c r="M238" s="8" t="n"/>
      <c r="N238" s="17" t="n"/>
      <c r="O238" s="17" t="n"/>
      <c r="P238" s="17" t="n"/>
      <c r="Q238" s="17" t="n"/>
      <c r="R238" s="10">
        <f>IFERROR(_xlfn.XLOOKUP($A238,Profitability!$A$5:$A$342,Profitability!$Q$5:$Q$342),"na")</f>
        <v/>
      </c>
      <c r="S238" s="10">
        <f>IFERROR(_xlfn.XLOOKUP($A238,Profitability!$A$5:$A$342,Profitability!$R$5:$R$342),"na")</f>
        <v/>
      </c>
      <c r="T238" s="8" t="inlineStr">
        <is>
          <t>Public</t>
        </is>
      </c>
      <c r="U238" s="8" t="inlineStr">
        <is>
          <t>Australia</t>
        </is>
      </c>
      <c r="V238" s="9" t="n">
        <v>2006</v>
      </c>
      <c r="W238" s="10" t="n">
        <v>979</v>
      </c>
      <c r="X238" s="11" t="n">
        <v>479.020483</v>
      </c>
      <c r="Y238" s="8" t="inlineStr">
        <is>
          <t>Pacific</t>
        </is>
      </c>
      <c r="Z238" s="8" t="inlineStr">
        <is>
          <t>Western Australia (WA)</t>
        </is>
      </c>
      <c r="AA238" s="11" t="n">
        <v>196.044861831823</v>
      </c>
      <c r="AB238" s="8" t="inlineStr">
        <is>
          <t>GR Engineering Services Ltd. engages in the provision of engineering, consulting and contracting to the mining and mineral processing industry. It operates through the Mineral Processing and Oil and Gas segments. The Mineral Processing segment includes engineering, procurement, and construction (EPC), and management contracts. The Oil and Gas segment offers delivery of operations and maintenance, wellsites, engineering, and production assurance services. The company was founded by Tony Marco Patrizi, Barry Sydney Patterson, Joseph Mario Paul Ricciardo, David Joseph Sala Tenna, and Giuseppe Totaro on September 04, 2006 and is headquartered in Ascot, Australia.</t>
        </is>
      </c>
      <c r="AC238" s="8" t="inlineStr">
        <is>
          <t>Infrastructure Construction/Contracting Services</t>
        </is>
      </c>
      <c r="AD238" s="8" t="inlineStr">
        <is>
          <t>Facilities and Construction Services</t>
        </is>
      </c>
      <c r="AE238" s="8" t="inlineStr">
        <is>
          <t>Industrial Services</t>
        </is>
      </c>
      <c r="AF238" s="12" t="inlineStr">
        <is>
          <t>Diverse Construction and Engineering Services</t>
        </is>
      </c>
      <c r="AR238" t="n">
        <v>0.07141400000000001</v>
      </c>
    </row>
    <row r="239" ht="15" customHeight="1">
      <c r="A239" s="8" t="inlineStr">
        <is>
          <t>BCB-AU</t>
        </is>
      </c>
      <c r="B239" s="8" t="inlineStr">
        <is>
          <t>Bowen Coking Coal Ltd.</t>
        </is>
      </c>
      <c r="C239" s="8" t="n"/>
      <c r="D239" s="8" t="n"/>
      <c r="E239" s="8" t="n"/>
      <c r="F239" s="8" t="n"/>
      <c r="G239" s="8" t="n"/>
      <c r="H239" s="8" t="n"/>
      <c r="I239" s="8" t="n"/>
      <c r="J239" s="8" t="n"/>
      <c r="K239" s="8" t="n"/>
      <c r="L239" s="8" t="n"/>
      <c r="M239" s="8" t="n"/>
      <c r="N239" s="17" t="n"/>
      <c r="O239" s="17" t="n"/>
      <c r="P239" s="10" t="n">
        <v>189527</v>
      </c>
      <c r="Q239" s="17" t="n">
        <v>615</v>
      </c>
      <c r="R239" s="10">
        <f>IFERROR(_xlfn.XLOOKUP($A239,Profitability!$A$5:$A$342,Profitability!$Q$5:$Q$342),"na")</f>
        <v/>
      </c>
      <c r="S239" s="10">
        <f>IFERROR(_xlfn.XLOOKUP($A239,Profitability!$A$5:$A$342,Profitability!$R$5:$R$342),"na")</f>
        <v/>
      </c>
      <c r="T239" s="8" t="inlineStr">
        <is>
          <t>Public</t>
        </is>
      </c>
      <c r="U239" s="8" t="inlineStr">
        <is>
          <t>Australia</t>
        </is>
      </c>
      <c r="V239" s="9" t="n">
        <v>1994</v>
      </c>
      <c r="W239" s="10" t="inlineStr">
        <is>
          <t>-</t>
        </is>
      </c>
      <c r="X239" s="11" t="n">
        <v>441.858246999999</v>
      </c>
      <c r="Y239" s="8" t="inlineStr">
        <is>
          <t>Pacific</t>
        </is>
      </c>
      <c r="Z239" s="8" t="inlineStr">
        <is>
          <t>Queensland (QLD)</t>
        </is>
      </c>
      <c r="AA239" s="11" t="n">
        <v>335.524710462147</v>
      </c>
      <c r="AB239" s="8" t="inlineStr">
        <is>
          <t>Bowen Coking Coal Ltd. engages in the exploration, development, and production of mineral properties. It operates through the following segments: Mining and Sale of Coal, Exploration and Development of Coal, and Corporate. The company was founded on July 6, 1994 and is headquartered in Brisbane, Australia.</t>
        </is>
      </c>
      <c r="AC239" s="8" t="inlineStr">
        <is>
          <t>Asia/Pacific International Coal Mining</t>
        </is>
      </c>
      <c r="AD239" s="8" t="inlineStr">
        <is>
          <t>Coal and Uranium Mining</t>
        </is>
      </c>
      <c r="AE239" s="8" t="inlineStr">
        <is>
          <t>Upstream Energy</t>
        </is>
      </c>
      <c r="AF239" s="12" t="inlineStr">
        <is>
          <t>Asia/Pacific International Coal Mining</t>
        </is>
      </c>
      <c r="AR239" t="n">
        <v>-0.216035</v>
      </c>
    </row>
    <row r="240" ht="15" customHeight="1">
      <c r="A240" s="8" t="inlineStr">
        <is>
          <t>SWM-AU</t>
        </is>
      </c>
      <c r="B240" s="8" t="inlineStr">
        <is>
          <t>Seven West Media Ltd.</t>
        </is>
      </c>
      <c r="C240" s="8" t="n"/>
      <c r="D240" s="8" t="n"/>
      <c r="E240" s="8" t="n"/>
      <c r="F240" s="8" t="n"/>
      <c r="G240" s="8" t="n"/>
      <c r="H240" s="8" t="n"/>
      <c r="I240" s="8" t="n"/>
      <c r="J240" s="8" t="n"/>
      <c r="K240" s="8" t="n"/>
      <c r="L240" s="8" t="n"/>
      <c r="M240" s="8" t="n"/>
      <c r="N240" s="17" t="n"/>
      <c r="O240" s="17" t="n"/>
      <c r="P240" s="17" t="n"/>
      <c r="Q240" s="17" t="n"/>
      <c r="R240" s="10">
        <f>IFERROR(_xlfn.XLOOKUP($A240,Profitability!$A$5:$A$342,Profitability!$Q$5:$Q$342),"na")</f>
        <v/>
      </c>
      <c r="S240" s="10">
        <f>IFERROR(_xlfn.XLOOKUP($A240,Profitability!$A$5:$A$342,Profitability!$R$5:$R$342),"na")</f>
        <v/>
      </c>
      <c r="T240" s="8" t="inlineStr">
        <is>
          <t>Public</t>
        </is>
      </c>
      <c r="U240" s="8" t="inlineStr">
        <is>
          <t>Australia</t>
        </is>
      </c>
      <c r="V240" s="9" t="n">
        <v>1991</v>
      </c>
      <c r="W240" s="10" t="inlineStr">
        <is>
          <t>-</t>
        </is>
      </c>
      <c r="X240" s="11" t="n">
        <v>1311.36599999999</v>
      </c>
      <c r="Y240" s="8" t="inlineStr">
        <is>
          <t>Pacific</t>
        </is>
      </c>
      <c r="Z240" s="8" t="inlineStr">
        <is>
          <t>Western Australia (WA)</t>
        </is>
      </c>
      <c r="AA240" s="11" t="n">
        <v>1565.09703857419</v>
      </c>
      <c r="AB240" s="8" t="inlineStr">
        <is>
          <t>Seven West Media Ltd. is a multi platform media company, which engages in the business of free to air television broadcasting, digital streaming, and newspaper publishing. It operates through four segments: Television, The West, Other Business and New Ventures. The Television segment engages in production and operation of commercial television programming and stations as well as distribution of programming content. The West segment includes publishers of newspapers and inserts magazines. The Other Business and New Ventures segment is made up of equity accounted investees and other ventures investments. The company was founded in 1956 and is headquartered in Perth, Australia.</t>
        </is>
      </c>
      <c r="AC240" s="8" t="inlineStr">
        <is>
          <t>Entertainment and Programming Providers</t>
        </is>
      </c>
      <c r="AD240" s="8" t="inlineStr">
        <is>
          <t>Media and Publishing Services</t>
        </is>
      </c>
      <c r="AE240" s="8" t="inlineStr">
        <is>
          <t>Media and Publishing Services</t>
        </is>
      </c>
      <c r="AF240" s="12" t="inlineStr">
        <is>
          <t>Television Cable and Broadcast Networks</t>
        </is>
      </c>
      <c r="AH240" t="n">
        <v>5000000</v>
      </c>
      <c r="AI240" t="n">
        <v>0.9</v>
      </c>
      <c r="AJ240" t="inlineStr">
        <is>
          <t>"5,000",
0,
"FY22</t>
        </is>
      </c>
      <c r="AK240" t="n">
        <v>5000000</v>
      </c>
      <c r="AL240" t="n">
        <v>0.9</v>
      </c>
      <c r="AM240" t="inlineStr">
        <is>
          <t>"5,000",
0,
"FY22</t>
        </is>
      </c>
      <c r="AQ240" t="n">
        <v>0</v>
      </c>
      <c r="AR240" t="n">
        <v>0.012681</v>
      </c>
      <c r="AS240" t="n">
        <v>0</v>
      </c>
    </row>
    <row r="241" ht="15" customHeight="1">
      <c r="A241" s="8" t="inlineStr">
        <is>
          <t>EML-AU</t>
        </is>
      </c>
      <c r="B241" s="8" t="inlineStr">
        <is>
          <t>EML Payments Ltd.</t>
        </is>
      </c>
      <c r="C241" s="8" t="n"/>
      <c r="D241" s="8" t="n"/>
      <c r="E241" s="8" t="n"/>
      <c r="F241" s="8" t="n"/>
      <c r="G241" s="8" t="n"/>
      <c r="H241" s="8" t="n"/>
      <c r="I241" s="8" t="n"/>
      <c r="J241" s="8" t="n"/>
      <c r="K241" s="8" t="n"/>
      <c r="L241" s="8" t="n"/>
      <c r="M241" s="8" t="n"/>
      <c r="N241" s="17" t="n"/>
      <c r="O241" s="17" t="n"/>
      <c r="P241" s="17" t="n"/>
      <c r="Q241" s="17" t="n"/>
      <c r="R241" s="10">
        <f>IFERROR(_xlfn.XLOOKUP($A241,Profitability!$A$5:$A$342,Profitability!$Q$5:$Q$342),"na")</f>
        <v/>
      </c>
      <c r="S241" s="10">
        <f>IFERROR(_xlfn.XLOOKUP($A241,Profitability!$A$5:$A$342,Profitability!$R$5:$R$342),"na")</f>
        <v/>
      </c>
      <c r="T241" s="8" t="inlineStr">
        <is>
          <t>Public</t>
        </is>
      </c>
      <c r="U241" s="8" t="inlineStr">
        <is>
          <t>Australia</t>
        </is>
      </c>
      <c r="V241" s="9" t="n">
        <v>2003</v>
      </c>
      <c r="W241" s="10" t="n">
        <v>430</v>
      </c>
      <c r="X241" s="11" t="n">
        <v>228.495999999999</v>
      </c>
      <c r="Y241" s="8" t="inlineStr">
        <is>
          <t>Pacific</t>
        </is>
      </c>
      <c r="Z241" s="8" t="inlineStr">
        <is>
          <t>Queensland (QLD)</t>
        </is>
      </c>
      <c r="AA241" s="11" t="n">
        <v>2682.367066111</v>
      </c>
      <c r="AB241" s="8" t="inlineStr">
        <is>
          <t>EML Payments Ltd. engages in the provision of payment solutions and financial services. It operates through the following segments: Gift &amp; Incentive (G&amp;I), General Purpose Reloadable (GPR), Digital Payments (DP), and Group. The Gift &amp; Incentive (G&amp;I) products provides single load gift cards for shopping malls and incentive programs across the world. The General Purpose Reloadable segment includes reloadable cards to a variety of industries including, but not limited to Government, Salary Packaging, Gaming and Digital Banking. The Digital Payments segment focuses on the payment options for consumers. Its operations include funds disbursement, social and welfare payments, loyalty and rewards programs, loan disbursements, corporate expenses, procurement, and salary packaging. The company was founded in 2001 and is headquartered in Brisbane, Australia.</t>
        </is>
      </c>
      <c r="AC241" s="8" t="inlineStr">
        <is>
          <t>Consumer Finance Services</t>
        </is>
      </c>
      <c r="AD241" s="8" t="inlineStr">
        <is>
          <t>Specialty Finance</t>
        </is>
      </c>
      <c r="AE241" s="8" t="inlineStr">
        <is>
          <t>Specialty Finance and Services</t>
        </is>
      </c>
      <c r="AF241" s="12" t="inlineStr">
        <is>
          <t>Electronic Transaction Processing/Clearinghouses</t>
        </is>
      </c>
      <c r="AR241" t="n">
        <v>-0.231733</v>
      </c>
    </row>
    <row r="242" ht="15" customHeight="1">
      <c r="A242" s="8" t="inlineStr">
        <is>
          <t>EVN-AU</t>
        </is>
      </c>
      <c r="B242" s="8" t="inlineStr">
        <is>
          <t>Evolution Mining Ltd.</t>
        </is>
      </c>
      <c r="C242" s="8" t="n"/>
      <c r="D242" s="8" t="n"/>
      <c r="E242" s="8" t="n"/>
      <c r="F242" s="8" t="n"/>
      <c r="G242" s="8" t="n"/>
      <c r="H242" s="8" t="n"/>
      <c r="I242" s="8" t="n"/>
      <c r="J242" s="8" t="n"/>
      <c r="K242" s="8" t="n"/>
      <c r="L242" s="8" t="n"/>
      <c r="M242" s="8" t="n"/>
      <c r="N242" s="17" t="n"/>
      <c r="O242" s="17" t="n"/>
      <c r="P242" s="10" t="n">
        <v>199449</v>
      </c>
      <c r="Q242" s="10" t="n">
        <v>623823</v>
      </c>
      <c r="R242" s="10">
        <f>IFERROR(_xlfn.XLOOKUP($A242,Profitability!$A$5:$A$342,Profitability!$Q$5:$Q$342),"na")</f>
        <v/>
      </c>
      <c r="S242" s="10">
        <f>IFERROR(_xlfn.XLOOKUP($A242,Profitability!$A$5:$A$342,Profitability!$R$5:$R$342),"na")</f>
        <v/>
      </c>
      <c r="T242" s="8" t="inlineStr">
        <is>
          <t>Public</t>
        </is>
      </c>
      <c r="U242" s="8" t="inlineStr">
        <is>
          <t>Australia</t>
        </is>
      </c>
      <c r="V242" s="9" t="n">
        <v>1998</v>
      </c>
      <c r="W242" s="10" t="n">
        <v>2000</v>
      </c>
      <c r="X242" s="11" t="n">
        <v>4351.47499999999</v>
      </c>
      <c r="Y242" s="8" t="inlineStr">
        <is>
          <t>Pacific</t>
        </is>
      </c>
      <c r="Z242" s="8" t="inlineStr">
        <is>
          <t>New South Wales (NSW)</t>
        </is>
      </c>
      <c r="AA242" s="11" t="n">
        <v>9637.1542375223</v>
      </c>
      <c r="AB242" s="8" t="inlineStr">
        <is>
          <t>Evolution Mining Ltd. engages in the exploration, development, operations, and the sale of gold and gold-copper concentrate. It operates through the following business segments: Ernest Henry, Cowal, Mungari, Red Lake, Mt Rawdon, Mt Carlton, and Exploration. The company was founded by Jacob Klein on November 2, 2011 and is headquartered in Sydney, Australia.</t>
        </is>
      </c>
      <c r="AC242" s="8" t="inlineStr">
        <is>
          <t>Precious Metal Mining</t>
        </is>
      </c>
      <c r="AD242" s="8" t="inlineStr">
        <is>
          <t>Metal Ore Mining</t>
        </is>
      </c>
      <c r="AE242" s="8" t="inlineStr">
        <is>
          <t>Mining and Mineral Products</t>
        </is>
      </c>
      <c r="AF242" s="12" t="inlineStr">
        <is>
          <t>Asia/Pacific Gold Mining</t>
        </is>
      </c>
      <c r="AR242" t="n">
        <v>0.21284</v>
      </c>
    </row>
    <row r="243" ht="15" customHeight="1">
      <c r="A243" s="8" t="inlineStr">
        <is>
          <t>URF-AU</t>
        </is>
      </c>
      <c r="B243" s="8" t="inlineStr">
        <is>
          <t>US Masters Residential Property Fund</t>
        </is>
      </c>
      <c r="C243" s="8" t="n"/>
      <c r="D243" s="8" t="n"/>
      <c r="E243" s="8" t="n"/>
      <c r="F243" s="8" t="n"/>
      <c r="G243" s="8" t="n"/>
      <c r="H243" s="8" t="n"/>
      <c r="I243" s="8" t="n"/>
      <c r="J243" s="8" t="n"/>
      <c r="K243" s="8" t="n"/>
      <c r="L243" s="8" t="n"/>
      <c r="M243" s="8" t="n"/>
      <c r="N243" s="17" t="n"/>
      <c r="O243" s="17" t="n"/>
      <c r="P243" s="17" t="n"/>
      <c r="Q243" s="17" t="n"/>
      <c r="R243" s="10">
        <f>IFERROR(_xlfn.XLOOKUP($A243,Profitability!$A$5:$A$342,Profitability!$Q$5:$Q$342),"na")</f>
        <v/>
      </c>
      <c r="S243" s="10">
        <f>IFERROR(_xlfn.XLOOKUP($A243,Profitability!$A$5:$A$342,Profitability!$R$5:$R$342),"na")</f>
        <v/>
      </c>
      <c r="T243" s="8" t="inlineStr">
        <is>
          <t>Public</t>
        </is>
      </c>
      <c r="U243" s="8" t="inlineStr">
        <is>
          <t>Australia</t>
        </is>
      </c>
      <c r="V243" s="9" t="n">
        <v>2011</v>
      </c>
      <c r="W243" s="10" t="inlineStr">
        <is>
          <t>-</t>
        </is>
      </c>
      <c r="X243" s="11" t="n">
        <v>33.9839999999999</v>
      </c>
      <c r="Y243" s="8" t="inlineStr">
        <is>
          <t>Pacific</t>
        </is>
      </c>
      <c r="Z243" s="8" t="inlineStr">
        <is>
          <t>New South Wales (NSW)</t>
        </is>
      </c>
      <c r="AA243" s="11" t="n">
        <v>811.605974825397</v>
      </c>
      <c r="AB243" s="8" t="inlineStr">
        <is>
          <t>US Masters Residential Property Fund engages in the business of investing in residential real estate associated with the New York metropolitan area in the Unites States of America. The company was founded on April 15, 2011 and is headquartered in Sydney, Australia.</t>
        </is>
      </c>
      <c r="AC243" s="8" t="inlineStr">
        <is>
          <t>Equity REITs</t>
        </is>
      </c>
      <c r="AD243" s="8" t="inlineStr">
        <is>
          <t>Real Estate Investment Trusts (REITs)</t>
        </is>
      </c>
      <c r="AE243" s="8" t="inlineStr">
        <is>
          <t>Real Estate</t>
        </is>
      </c>
      <c r="AF243" s="12" t="inlineStr">
        <is>
          <t>Equity REITs</t>
        </is>
      </c>
      <c r="AR243" t="n">
        <v>-1.311088</v>
      </c>
    </row>
    <row r="244" ht="15" customHeight="1">
      <c r="A244" s="8" t="inlineStr">
        <is>
          <t>AQZ-AU</t>
        </is>
      </c>
      <c r="B244" s="8" t="inlineStr">
        <is>
          <t>Alliance Aviation Services Ltd.</t>
        </is>
      </c>
      <c r="C244" s="8" t="n"/>
      <c r="D244" s="8" t="n"/>
      <c r="E244" s="8" t="n"/>
      <c r="F244" s="8" t="n"/>
      <c r="G244" s="8" t="n"/>
      <c r="H244" s="8" t="n"/>
      <c r="I244" s="8" t="n"/>
      <c r="J244" s="8" t="n"/>
      <c r="K244" s="8" t="n"/>
      <c r="L244" s="8" t="n"/>
      <c r="M244" s="8" t="n"/>
      <c r="N244" s="17" t="n"/>
      <c r="O244" s="17" t="n"/>
      <c r="P244" s="10" t="n">
        <v>235115</v>
      </c>
      <c r="Q244" s="10" t="n">
        <v>1088</v>
      </c>
      <c r="R244" s="10">
        <f>IFERROR(_xlfn.XLOOKUP($A244,Profitability!$A$5:$A$342,Profitability!$Q$5:$Q$342),"na")</f>
        <v/>
      </c>
      <c r="S244" s="10">
        <f>IFERROR(_xlfn.XLOOKUP($A244,Profitability!$A$5:$A$342,Profitability!$R$5:$R$342),"na")</f>
        <v/>
      </c>
      <c r="T244" s="8" t="inlineStr">
        <is>
          <t>Public</t>
        </is>
      </c>
      <c r="U244" s="8" t="inlineStr">
        <is>
          <t>Australia</t>
        </is>
      </c>
      <c r="V244" s="9" t="n">
        <v>2011</v>
      </c>
      <c r="W244" s="10" t="n">
        <v>1452</v>
      </c>
      <c r="X244" s="11" t="n">
        <v>760.872</v>
      </c>
      <c r="Y244" s="8" t="inlineStr">
        <is>
          <t>Pacific</t>
        </is>
      </c>
      <c r="Z244" s="8" t="inlineStr">
        <is>
          <t>Queensland (QLD)</t>
        </is>
      </c>
      <c r="AA244" s="11" t="n">
        <v>1205.11202970181</v>
      </c>
      <c r="AB244" s="8" t="inlineStr">
        <is>
          <t>Alliance Aviation Services Ltd. engages in the provision of contracts, charter, and allied services. It also offers aircraft sales and leasing. The company was founded in 2002 and is headquartered in Brisbane, Australia.</t>
        </is>
      </c>
      <c r="AC244" s="8" t="inlineStr">
        <is>
          <t>Air Passenger Transportation</t>
        </is>
      </c>
      <c r="AD244" s="8" t="inlineStr">
        <is>
          <t>Passenger Transportation</t>
        </is>
      </c>
      <c r="AE244" s="8" t="inlineStr">
        <is>
          <t>Industrial Services</t>
        </is>
      </c>
      <c r="AF244" s="12" t="inlineStr">
        <is>
          <t>Asia/Pacific Air Passenger Service Providers</t>
        </is>
      </c>
      <c r="AR244" t="n">
        <v>0.075339</v>
      </c>
    </row>
    <row r="245" ht="15" customHeight="1">
      <c r="A245" s="8" t="inlineStr">
        <is>
          <t>ATG-AU</t>
        </is>
      </c>
      <c r="B245" s="8" t="inlineStr">
        <is>
          <t>Articore Group Ltd.</t>
        </is>
      </c>
      <c r="C245" s="8" t="n"/>
      <c r="D245" s="8" t="n"/>
      <c r="E245" s="8" t="n"/>
      <c r="F245" s="8" t="n"/>
      <c r="G245" s="8" t="n"/>
      <c r="H245" s="8" t="n"/>
      <c r="I245" s="8" t="n"/>
      <c r="J245" s="8" t="n"/>
      <c r="K245" s="8" t="n"/>
      <c r="L245" s="8" t="n"/>
      <c r="M245" s="8" t="n"/>
      <c r="N245" s="17" t="n"/>
      <c r="O245" s="17" t="n"/>
      <c r="P245" s="17" t="n"/>
      <c r="Q245" s="17" t="n"/>
      <c r="R245" s="10">
        <f>IFERROR(_xlfn.XLOOKUP($A245,Profitability!$A$5:$A$342,Profitability!$Q$5:$Q$342),"na")</f>
        <v/>
      </c>
      <c r="S245" s="10">
        <f>IFERROR(_xlfn.XLOOKUP($A245,Profitability!$A$5:$A$342,Profitability!$R$5:$R$342),"na")</f>
        <v/>
      </c>
      <c r="T245" s="8" t="inlineStr">
        <is>
          <t>Public</t>
        </is>
      </c>
      <c r="U245" s="8" t="inlineStr">
        <is>
          <t>Australia</t>
        </is>
      </c>
      <c r="V245" s="9" t="n">
        <v>2006</v>
      </c>
      <c r="W245" s="10" t="inlineStr">
        <is>
          <t>-</t>
        </is>
      </c>
      <c r="X245" s="11" t="n">
        <v>438.643999999999</v>
      </c>
      <c r="Y245" s="8" t="inlineStr">
        <is>
          <t>Pacific</t>
        </is>
      </c>
      <c r="Z245" s="8" t="inlineStr">
        <is>
          <t>Victoria (VIC)</t>
        </is>
      </c>
      <c r="AA245" s="11" t="n">
        <v>109.414002696674</v>
      </c>
      <c r="AB245" s="8" t="inlineStr">
        <is>
          <t>Articore Group Ltd. engages in the development and provision of online marketplace, where artists upload their designs and creative works. It operates through the following segments: Redbubble, TeePublic, and Other. The Redbubble and TeePublic segments refer to the online marketplace for print on demand products. The company was founded by Martin Hosking, Paul Vanzella, and Peter Styles on April 10, 2006 and is headquartered in Docklands, Australia.</t>
        </is>
      </c>
      <c r="AC245" s="8" t="inlineStr">
        <is>
          <t>Apparel Retail</t>
        </is>
      </c>
      <c r="AD245" s="8" t="inlineStr">
        <is>
          <t>Apparel and Accessories Retail</t>
        </is>
      </c>
      <c r="AE245" s="8" t="inlineStr">
        <is>
          <t>Consumer Retail</t>
        </is>
      </c>
      <c r="AF245" s="12" t="inlineStr">
        <is>
          <t>Other Apparel Retail</t>
        </is>
      </c>
      <c r="AR245" t="n">
        <v>-0.02575</v>
      </c>
    </row>
    <row r="246" ht="15" customHeight="1">
      <c r="A246" s="8" t="inlineStr">
        <is>
          <t>TYR-AU</t>
        </is>
      </c>
      <c r="B246" s="8" t="inlineStr">
        <is>
          <t>Tyro Payments Ltd.</t>
        </is>
      </c>
      <c r="C246" s="8" t="n"/>
      <c r="D246" s="8" t="n"/>
      <c r="E246" s="8" t="n"/>
      <c r="F246" s="8" t="n"/>
      <c r="G246" s="8" t="n"/>
      <c r="H246" s="8" t="n"/>
      <c r="I246" s="8" t="n"/>
      <c r="J246" s="8" t="n"/>
      <c r="K246" s="8" t="n"/>
      <c r="L246" s="8" t="n"/>
      <c r="M246" s="8" t="n"/>
      <c r="N246" s="17" t="n"/>
      <c r="O246" s="17" t="n"/>
      <c r="P246" s="17" t="n"/>
      <c r="Q246" s="17" t="n"/>
      <c r="R246" s="10">
        <f>IFERROR(_xlfn.XLOOKUP($A246,Profitability!$A$5:$A$342,Profitability!$Q$5:$Q$342),"na")</f>
        <v/>
      </c>
      <c r="S246" s="10">
        <f>IFERROR(_xlfn.XLOOKUP($A246,Profitability!$A$5:$A$342,Profitability!$R$5:$R$342),"na")</f>
        <v/>
      </c>
      <c r="T246" s="8" t="inlineStr">
        <is>
          <t>Public</t>
        </is>
      </c>
      <c r="U246" s="8" t="inlineStr">
        <is>
          <t>Australia</t>
        </is>
      </c>
      <c r="V246" s="9" t="n">
        <v>2003</v>
      </c>
      <c r="W246" s="10" t="n">
        <v>564</v>
      </c>
      <c r="X246" s="11" t="n">
        <v>485.604999999999</v>
      </c>
      <c r="Y246" s="8" t="inlineStr">
        <is>
          <t>Pacific</t>
        </is>
      </c>
      <c r="Z246" s="8" t="inlineStr">
        <is>
          <t>New South Wales (NSW)</t>
        </is>
      </c>
      <c r="AA246" s="11" t="n">
        <v>547.561013495473</v>
      </c>
      <c r="AB246" s="8" t="inlineStr">
        <is>
          <t>Tyro Payments Ltd. engages in the provision of merchant credit, debit and EFTPOS acquisition services. It operates through the Payments and Banking segments. The Payments segment provides electronic payment transactions from merchants. The Banking segment deals with banking services and loans to merchants. The company was founded by Peter Haig, Andrew Rothwell, and Paul Wood in 2003 and is headquartered in Sydney, Australia.</t>
        </is>
      </c>
      <c r="AC246" s="8" t="inlineStr">
        <is>
          <t>Consumer Finance Services</t>
        </is>
      </c>
      <c r="AD246" s="8" t="inlineStr">
        <is>
          <t>Specialty Finance</t>
        </is>
      </c>
      <c r="AE246" s="8" t="inlineStr">
        <is>
          <t>Specialty Finance and Services</t>
        </is>
      </c>
      <c r="AF246" s="12" t="inlineStr">
        <is>
          <t>Electronic Transaction Processing/Clearinghouses</t>
        </is>
      </c>
      <c r="AH246" t="n">
        <v>0</v>
      </c>
      <c r="AJ246" t="inlineStr">
        <is>
          <t>Emissions for FY23 [28]. Scope 1 is zero [28].</t>
        </is>
      </c>
      <c r="AK246" t="n">
        <v>439</v>
      </c>
      <c r="AM246" t="inlineStr">
        <is>
          <t>Emissions for FY23 [28]. Scope 1 is zero [28].</t>
        </is>
      </c>
      <c r="AN246" t="n">
        <v>4488</v>
      </c>
      <c r="AP246" t="inlineStr">
        <is>
          <t>Emissions for FY23 [28]. Scope 1 is zero [28].</t>
        </is>
      </c>
      <c r="AR246" t="n">
        <v>0.036686</v>
      </c>
    </row>
    <row r="247" ht="15" customHeight="1">
      <c r="A247" s="8" t="inlineStr">
        <is>
          <t>NWL-AU</t>
        </is>
      </c>
      <c r="B247" s="8" t="inlineStr">
        <is>
          <t>Netwealth Group Ltd.</t>
        </is>
      </c>
      <c r="C247" s="8" t="n"/>
      <c r="D247" s="8" t="n"/>
      <c r="E247" s="8" t="n"/>
      <c r="F247" s="8" t="n"/>
      <c r="G247" s="8" t="n"/>
      <c r="H247" s="8" t="n"/>
      <c r="I247" s="8" t="n"/>
      <c r="J247" s="8" t="n"/>
      <c r="K247" s="8" t="n"/>
      <c r="L247" s="8" t="n"/>
      <c r="M247" s="8" t="n"/>
      <c r="N247" s="17" t="n"/>
      <c r="O247" s="17" t="n"/>
      <c r="P247" s="17" t="n"/>
      <c r="Q247" s="17" t="n"/>
      <c r="R247" s="10">
        <f>IFERROR(_xlfn.XLOOKUP($A247,Profitability!$A$5:$A$342,Profitability!$Q$5:$Q$342),"na")</f>
        <v/>
      </c>
      <c r="S247" s="10">
        <f>IFERROR(_xlfn.XLOOKUP($A247,Profitability!$A$5:$A$342,Profitability!$R$5:$R$342),"na")</f>
        <v/>
      </c>
      <c r="T247" s="8" t="inlineStr">
        <is>
          <t>Public</t>
        </is>
      </c>
      <c r="U247" s="8" t="inlineStr">
        <is>
          <t>Australia</t>
        </is>
      </c>
      <c r="V247" s="9" t="n">
        <v>2017</v>
      </c>
      <c r="W247" s="10" t="n">
        <v>636</v>
      </c>
      <c r="X247" s="11" t="n">
        <v>316.408</v>
      </c>
      <c r="Y247" s="8" t="inlineStr">
        <is>
          <t>Pacific</t>
        </is>
      </c>
      <c r="Z247" s="8" t="inlineStr">
        <is>
          <t>Victoria (VIC)</t>
        </is>
      </c>
      <c r="AA247" s="11" t="n">
        <v>257.318006341992</v>
      </c>
      <c r="AB247" s="8" t="inlineStr">
        <is>
          <t>Netwealth Group Ltd. operates as a financial services and technology company. It offers a range of innovative portfolio administration, superannuation, retirement, investment and managed accounts solutions to investors and intermediaries including Financial Intermediaries and private client. The company was founded by Michael Heine in 1999 and is headquartered in Melbourne, Australia.</t>
        </is>
      </c>
      <c r="AC247" s="8" t="inlineStr">
        <is>
          <t>Asset Management and Financial Advisory Services</t>
        </is>
      </c>
      <c r="AD247" s="8" t="inlineStr">
        <is>
          <t>Investment Services</t>
        </is>
      </c>
      <c r="AE247" s="8" t="inlineStr">
        <is>
          <t>Investment Services</t>
        </is>
      </c>
      <c r="AF247" s="12" t="inlineStr">
        <is>
          <t>Alternative Investment Managers</t>
        </is>
      </c>
      <c r="AR247" t="n">
        <v>0.368259</v>
      </c>
    </row>
    <row r="248" ht="15" customHeight="1">
      <c r="A248" s="8" t="inlineStr">
        <is>
          <t>NIC-AU</t>
        </is>
      </c>
      <c r="B248" s="8" t="inlineStr">
        <is>
          <t>Nickel Industries Ltd.</t>
        </is>
      </c>
      <c r="C248" s="8" t="n"/>
      <c r="D248" s="8" t="n"/>
      <c r="E248" s="8" t="n"/>
      <c r="F248" s="8" t="n"/>
      <c r="G248" s="8" t="n"/>
      <c r="H248" s="8" t="n"/>
      <c r="I248" s="8" t="n"/>
      <c r="J248" s="8" t="n"/>
      <c r="K248" s="8" t="n"/>
      <c r="L248" s="8" t="n"/>
      <c r="M248" s="8" t="n"/>
      <c r="N248" s="17" t="n"/>
      <c r="O248" s="17" t="n"/>
      <c r="P248" s="17" t="n"/>
      <c r="Q248" s="17" t="n"/>
      <c r="R248" s="10">
        <f>IFERROR(_xlfn.XLOOKUP($A248,Profitability!$A$5:$A$342,Profitability!$Q$5:$Q$342),"na")</f>
        <v/>
      </c>
      <c r="S248" s="10">
        <f>IFERROR(_xlfn.XLOOKUP($A248,Profitability!$A$5:$A$342,Profitability!$R$5:$R$342),"na")</f>
        <v/>
      </c>
      <c r="T248" s="8" t="inlineStr">
        <is>
          <t>Public</t>
        </is>
      </c>
      <c r="U248" s="8" t="inlineStr">
        <is>
          <t>Australia</t>
        </is>
      </c>
      <c r="V248" s="9" t="n">
        <v>2007</v>
      </c>
      <c r="W248" s="10" t="inlineStr">
        <is>
          <t>-</t>
        </is>
      </c>
      <c r="X248" s="11" t="n">
        <v>2644.71684529137</v>
      </c>
      <c r="Y248" s="8" t="inlineStr">
        <is>
          <t>Pacific</t>
        </is>
      </c>
      <c r="Z248" s="8" t="inlineStr">
        <is>
          <t>New South Wales (NSW)</t>
        </is>
      </c>
      <c r="AA248" s="11" t="n">
        <v>6292.89856927196</v>
      </c>
      <c r="AB248" s="8" t="inlineStr">
        <is>
          <t>Nickel Industries Ltd. is an exploration and development company, which focuses on nickel mining projects. The firm operates through the Tsingshan collaboration and Hengjaya Mine projects. Its operations include Hengjaya Nickel, Ranger Nickel, Angel Nickel, Oracle Nickel and Hengjaya Mine. The company was founded on 12th September, 2007 and is headquartered in Sydney, Australia.</t>
        </is>
      </c>
      <c r="AC248" s="8" t="inlineStr">
        <is>
          <t>Base Metal Mining</t>
        </is>
      </c>
      <c r="AD248" s="8" t="inlineStr">
        <is>
          <t>Metal Ore Mining</t>
        </is>
      </c>
      <c r="AE248" s="8" t="inlineStr">
        <is>
          <t>Mining and Mineral Products</t>
        </is>
      </c>
      <c r="AF248" s="12" t="inlineStr">
        <is>
          <t>Non-Ferrous Metal Ore Mining</t>
        </is>
      </c>
      <c r="AH248" t="n">
        <v>2934253</v>
      </c>
      <c r="AI248" t="n">
        <v>1</v>
      </c>
      <c r="AJ248" t="inlineStr">
        <is>
          <t>Carbon fraction in the NPI,,"-87,166","-80,386","-41,076"
Total Scope 1,,"2,934,253","3,193,569","1,770,086"
Scope 2 - Indirect Electricity Emissions Category,,,,</t>
        </is>
      </c>
      <c r="AK248" t="n">
        <v>3710248</v>
      </c>
      <c r="AL248" t="n">
        <v>1</v>
      </c>
      <c r="AM248" t="inlineStr">
        <is>
          <t>Scope 2 - Indirect Electricity Emissions Category,,,,
Total Scope 2,(tCO2e),"3,710,248","3,440,250","1,814,177"
Total Emissions,(tCO2e),6.644.501,"6,633,819","3,584,263"</t>
        </is>
      </c>
      <c r="AN248" t="n">
        <v>0</v>
      </c>
      <c r="AO248" t="n">
        <v>0.95</v>
      </c>
      <c r="AP248" t="inlineStr">
        <is>
          <t>GRI 305: Emissions 2016,,,,
,305-3,Other indirect (Scope 3) GHG emissions,39,14.1.7
,305-4,GHG emissions intensity,39,14.1.8</t>
        </is>
      </c>
      <c r="AQ248" t="n">
        <v>12</v>
      </c>
      <c r="AR248" t="n">
        <v>-0.09664300000000001</v>
      </c>
      <c r="AS248" t="n">
        <v>0.004537</v>
      </c>
    </row>
    <row r="249" ht="15" customHeight="1">
      <c r="A249" s="8" t="inlineStr">
        <is>
          <t>RGN-AU</t>
        </is>
      </c>
      <c r="B249" s="8" t="inlineStr">
        <is>
          <t>Region Group</t>
        </is>
      </c>
      <c r="C249" s="8" t="n"/>
      <c r="D249" s="8" t="n"/>
      <c r="E249" s="8" t="n"/>
      <c r="F249" s="8" t="n"/>
      <c r="G249" s="8" t="n"/>
      <c r="H249" s="8" t="n"/>
      <c r="I249" s="8" t="n"/>
      <c r="J249" s="8" t="n"/>
      <c r="K249" s="8" t="n"/>
      <c r="L249" s="8" t="n"/>
      <c r="M249" s="8" t="n"/>
      <c r="N249" s="17" t="n"/>
      <c r="O249" s="17" t="n"/>
      <c r="P249" s="17" t="n"/>
      <c r="Q249" s="17" t="n"/>
      <c r="R249" s="10">
        <f>IFERROR(_xlfn.XLOOKUP($A249,Profitability!$A$5:$A$342,Profitability!$Q$5:$Q$342),"na")</f>
        <v/>
      </c>
      <c r="S249" s="10">
        <f>IFERROR(_xlfn.XLOOKUP($A249,Profitability!$A$5:$A$342,Profitability!$R$5:$R$342),"na")</f>
        <v/>
      </c>
      <c r="T249" s="8" t="inlineStr">
        <is>
          <t>Public</t>
        </is>
      </c>
      <c r="U249" s="8" t="inlineStr">
        <is>
          <t>Australia</t>
        </is>
      </c>
      <c r="V249" s="9" t="inlineStr">
        <is>
          <t>-</t>
        </is>
      </c>
      <c r="W249" s="10" t="inlineStr">
        <is>
          <t>-</t>
        </is>
      </c>
      <c r="X249" s="11" t="n">
        <v>376.099999999999</v>
      </c>
      <c r="Y249" s="8" t="inlineStr">
        <is>
          <t>Pacific</t>
        </is>
      </c>
      <c r="Z249" s="8" t="inlineStr">
        <is>
          <t>New South Wales (NSW)</t>
        </is>
      </c>
      <c r="AA249" s="11" t="n">
        <v>4590.90011314971</v>
      </c>
      <c r="AB249" s="8" t="inlineStr">
        <is>
          <t>Region Group engages in the business of investing in and managing shopping centres. It focuses on the non-discretionary retail sector primarily convenience retailers and grocery outlets; and is anchored by long-term leases to quality tenants. The company was founded on June 4, 2012 and is headquartered in Sydney, Australia.</t>
        </is>
      </c>
      <c r="AC249" s="8" t="inlineStr">
        <is>
          <t>Equity REITs</t>
        </is>
      </c>
      <c r="AD249" s="8" t="inlineStr">
        <is>
          <t>Real Estate Investment Trusts (REITs)</t>
        </is>
      </c>
      <c r="AE249" s="8" t="inlineStr">
        <is>
          <t>Real Estate</t>
        </is>
      </c>
      <c r="AF249" s="12" t="inlineStr">
        <is>
          <t>Equity REITs</t>
        </is>
      </c>
      <c r="AR249" t="n">
        <v>0.565009</v>
      </c>
    </row>
    <row r="250" ht="15" customHeight="1">
      <c r="A250" s="8" t="inlineStr">
        <is>
          <t>BDM-AU</t>
        </is>
      </c>
      <c r="B250" s="8" t="inlineStr">
        <is>
          <t>Burgundy Diamond Mines Ltd.</t>
        </is>
      </c>
      <c r="C250" s="8" t="n"/>
      <c r="D250" s="8" t="n"/>
      <c r="E250" s="8" t="n"/>
      <c r="F250" s="8" t="n"/>
      <c r="G250" s="8" t="n"/>
      <c r="H250" s="8" t="n"/>
      <c r="I250" s="8" t="n"/>
      <c r="J250" s="8" t="n"/>
      <c r="K250" s="8" t="n"/>
      <c r="L250" s="8" t="n"/>
      <c r="M250" s="8" t="n"/>
      <c r="N250" s="17" t="n"/>
      <c r="O250" s="17" t="n"/>
      <c r="P250" s="17" t="n"/>
      <c r="Q250" s="17" t="n"/>
      <c r="R250" s="10">
        <f>IFERROR(_xlfn.XLOOKUP($A250,Profitability!$A$5:$A$342,Profitability!$Q$5:$Q$342),"na")</f>
        <v/>
      </c>
      <c r="S250" s="10">
        <f>IFERROR(_xlfn.XLOOKUP($A250,Profitability!$A$5:$A$342,Profitability!$R$5:$R$342),"na")</f>
        <v/>
      </c>
      <c r="T250" s="8" t="inlineStr">
        <is>
          <t>Public</t>
        </is>
      </c>
      <c r="U250" s="8" t="inlineStr">
        <is>
          <t>Australia</t>
        </is>
      </c>
      <c r="V250" s="9" t="n">
        <v>2012</v>
      </c>
      <c r="W250" s="10" t="inlineStr">
        <is>
          <t>-</t>
        </is>
      </c>
      <c r="X250" s="11" t="n">
        <v>670.281432893193</v>
      </c>
      <c r="Y250" s="8" t="inlineStr">
        <is>
          <t>Pacific</t>
        </is>
      </c>
      <c r="Z250" s="8" t="inlineStr">
        <is>
          <t>Western Australia (WA)</t>
        </is>
      </c>
      <c r="AA250" s="11" t="n">
        <v>745.8386266309</v>
      </c>
      <c r="AB250" s="8" t="inlineStr">
        <is>
          <t>Burgundy Diamond Mines Ltd. engages in mining, production, cutting and polishing, and sale of diamonds. It operates through the Rough Diamond and Polished Diamond segments. The Rough Diamond segment represents the mining, sales, and marketing of rough diamonds. The Polished Diamond segment refers to the manufacturing, sales, and marketing of polished diamonds. The company was founded on August 22, 2012 and is headquartered in Perth, Australia.</t>
        </is>
      </c>
      <c r="AC250" s="8" t="inlineStr">
        <is>
          <t>Nonmetallic Mineral Mining</t>
        </is>
      </c>
      <c r="AD250" s="8" t="inlineStr">
        <is>
          <t>Other Mining</t>
        </is>
      </c>
      <c r="AE250" s="8" t="inlineStr">
        <is>
          <t>Mining and Mineral Products</t>
        </is>
      </c>
      <c r="AF250" s="12" t="inlineStr">
        <is>
          <t>Diamond Mining</t>
        </is>
      </c>
      <c r="AR250" t="n">
        <v>-0.21998</v>
      </c>
    </row>
    <row r="251" ht="15" customHeight="1">
      <c r="A251" s="8" t="inlineStr">
        <is>
          <t>CIP-AU</t>
        </is>
      </c>
      <c r="B251" s="8" t="inlineStr">
        <is>
          <t>Centuria Industrial REIT</t>
        </is>
      </c>
      <c r="C251" s="8" t="n"/>
      <c r="D251" s="8" t="n"/>
      <c r="E251" s="8" t="n"/>
      <c r="F251" s="8" t="n"/>
      <c r="G251" s="8" t="n"/>
      <c r="H251" s="8" t="n"/>
      <c r="I251" s="8" t="n"/>
      <c r="J251" s="8" t="n"/>
      <c r="K251" s="8" t="n"/>
      <c r="L251" s="8" t="n"/>
      <c r="M251" s="8" t="n"/>
      <c r="N251" s="17" t="n"/>
      <c r="O251" s="17" t="n"/>
      <c r="P251" s="17" t="n"/>
      <c r="Q251" s="17" t="n"/>
      <c r="R251" s="10">
        <f>IFERROR(_xlfn.XLOOKUP($A251,Profitability!$A$5:$A$342,Profitability!$Q$5:$Q$342),"na")</f>
        <v/>
      </c>
      <c r="S251" s="10">
        <f>IFERROR(_xlfn.XLOOKUP($A251,Profitability!$A$5:$A$342,Profitability!$R$5:$R$342),"na")</f>
        <v/>
      </c>
      <c r="T251" s="8" t="inlineStr">
        <is>
          <t>Public</t>
        </is>
      </c>
      <c r="U251" s="8" t="inlineStr">
        <is>
          <t>Australia</t>
        </is>
      </c>
      <c r="V251" s="9" t="n">
        <v>2002</v>
      </c>
      <c r="W251" s="10" t="inlineStr">
        <is>
          <t>-</t>
        </is>
      </c>
      <c r="X251" s="11" t="n">
        <v>234.679999999999</v>
      </c>
      <c r="Y251" s="8" t="inlineStr">
        <is>
          <t>Pacific</t>
        </is>
      </c>
      <c r="Z251" s="8" t="inlineStr">
        <is>
          <t>New South Wales (NSW)</t>
        </is>
      </c>
      <c r="AA251" s="11" t="n">
        <v>3928.42009682187</v>
      </c>
      <c r="AB251" s="8" t="inlineStr">
        <is>
          <t>Centuria Industrial REIT operates as a property investment and fund management, which engages in acquiring and managing industrial properties within Australia. The company was founded in March 2002 and is headquartered in Sydney, Australia.</t>
        </is>
      </c>
      <c r="AC251" s="8" t="inlineStr">
        <is>
          <t>Equity REITs</t>
        </is>
      </c>
      <c r="AD251" s="8" t="inlineStr">
        <is>
          <t>Real Estate Investment Trusts (REITs)</t>
        </is>
      </c>
      <c r="AE251" s="8" t="inlineStr">
        <is>
          <t>Real Estate</t>
        </is>
      </c>
      <c r="AF251" s="12" t="inlineStr">
        <is>
          <t>Equity REITs</t>
        </is>
      </c>
      <c r="AR251" t="n">
        <v>0.566989</v>
      </c>
    </row>
    <row r="252" ht="15" customHeight="1">
      <c r="A252" s="8" t="inlineStr">
        <is>
          <t>ARF-AU</t>
        </is>
      </c>
      <c r="B252" s="8" t="inlineStr">
        <is>
          <t>Arena REIT</t>
        </is>
      </c>
      <c r="C252" s="8" t="n"/>
      <c r="D252" s="8" t="n"/>
      <c r="E252" s="8" t="n"/>
      <c r="F252" s="8" t="n"/>
      <c r="G252" s="8" t="n"/>
      <c r="H252" s="8" t="n"/>
      <c r="I252" s="8" t="n"/>
      <c r="J252" s="8" t="n"/>
      <c r="K252" s="8" t="n"/>
      <c r="L252" s="8" t="n"/>
      <c r="M252" s="8" t="n"/>
      <c r="N252" s="17" t="n"/>
      <c r="O252" s="17" t="n"/>
      <c r="P252" s="17" t="n"/>
      <c r="Q252" s="17" t="n"/>
      <c r="R252" s="10">
        <f>IFERROR(_xlfn.XLOOKUP($A252,Profitability!$A$5:$A$342,Profitability!$Q$5:$Q$342),"na")</f>
        <v/>
      </c>
      <c r="S252" s="10">
        <f>IFERROR(_xlfn.XLOOKUP($A252,Profitability!$A$5:$A$342,Profitability!$R$5:$R$342),"na")</f>
        <v/>
      </c>
      <c r="T252" s="8" t="inlineStr">
        <is>
          <t>Public</t>
        </is>
      </c>
      <c r="U252" s="8" t="inlineStr">
        <is>
          <t>Australia</t>
        </is>
      </c>
      <c r="V252" s="9" t="n">
        <v>2014</v>
      </c>
      <c r="W252" s="10" t="inlineStr">
        <is>
          <t>-</t>
        </is>
      </c>
      <c r="X252" s="11" t="n">
        <v>110.052</v>
      </c>
      <c r="Y252" s="8" t="inlineStr">
        <is>
          <t>Pacific</t>
        </is>
      </c>
      <c r="Z252" s="8" t="inlineStr">
        <is>
          <t>Victoria (VIC)</t>
        </is>
      </c>
      <c r="AA252" s="11" t="n">
        <v>1858.66204580954</v>
      </c>
      <c r="AB252" s="8" t="inlineStr">
        <is>
          <t>Arena REIT operates as a real estate investment trust. Its investment objective is to generate an attractive and predictable distribution to investors, with earnings growth prospects over the medium to long term. The company was founded in 2003 and is headquartered in Melbourne, Australia.</t>
        </is>
      </c>
      <c r="AC252" s="8" t="inlineStr">
        <is>
          <t>Equity REITs</t>
        </is>
      </c>
      <c r="AD252" s="8" t="inlineStr">
        <is>
          <t>Real Estate Investment Trusts (REITs)</t>
        </is>
      </c>
      <c r="AE252" s="8" t="inlineStr">
        <is>
          <t>Real Estate</t>
        </is>
      </c>
      <c r="AF252" s="12" t="inlineStr">
        <is>
          <t>Equity REITs</t>
        </is>
      </c>
      <c r="AH252" t="n">
        <v>0</v>
      </c>
      <c r="AJ252" t="inlineStr">
        <is>
          <t>Organizational inventory. Scope 1 and 2 are zero due to purchasing GreenPower [4, 5]. Scope 3 reflects organizational scope 3 emissions (excluding Downstream Leased Assets) [5].</t>
        </is>
      </c>
      <c r="AK252" t="n">
        <v>0</v>
      </c>
      <c r="AM252" t="inlineStr">
        <is>
          <t>Organizational inventory. Scope 1 and 2 are zero due to purchasing GreenPower [4, 5]. Scope 3 reflects organizational scope 3 emissions (excluding Downstream Leased Assets) [5].</t>
        </is>
      </c>
      <c r="AN252" t="n">
        <v>206</v>
      </c>
      <c r="AP252" t="inlineStr">
        <is>
          <t>Organizational inventory. Scope 1 and 2 are zero due to purchasing GreenPower [4, 5]. Scope 3 reflects organizational scope 3 emissions (excluding Downstream Leased Assets) [5].</t>
        </is>
      </c>
      <c r="AR252" t="n">
        <v>0.748092</v>
      </c>
    </row>
    <row r="253" ht="15" customHeight="1">
      <c r="A253" s="8" t="inlineStr">
        <is>
          <t>SDF-AU</t>
        </is>
      </c>
      <c r="B253" s="8" t="inlineStr">
        <is>
          <t>Steadfast Group Ltd. (Australia)</t>
        </is>
      </c>
      <c r="C253" s="8" t="n"/>
      <c r="D253" s="8" t="n"/>
      <c r="E253" s="8" t="n"/>
      <c r="F253" s="8" t="n"/>
      <c r="G253" s="8" t="n"/>
      <c r="H253" s="8" t="n"/>
      <c r="I253" s="8" t="n"/>
      <c r="J253" s="8" t="n"/>
      <c r="K253" s="8" t="n"/>
      <c r="L253" s="8" t="n"/>
      <c r="M253" s="8" t="n"/>
      <c r="N253" s="17" t="n"/>
      <c r="O253" s="17" t="n"/>
      <c r="P253" s="17" t="n"/>
      <c r="Q253" s="17" t="n"/>
      <c r="R253" s="10">
        <f>IFERROR(_xlfn.XLOOKUP($A253,Profitability!$A$5:$A$342,Profitability!$Q$5:$Q$342),"na")</f>
        <v/>
      </c>
      <c r="S253" s="10">
        <f>IFERROR(_xlfn.XLOOKUP($A253,Profitability!$A$5:$A$342,Profitability!$R$5:$R$342),"na")</f>
        <v/>
      </c>
      <c r="T253" s="8" t="inlineStr">
        <is>
          <t>Public</t>
        </is>
      </c>
      <c r="U253" s="8" t="inlineStr">
        <is>
          <t>Australia</t>
        </is>
      </c>
      <c r="V253" s="9" t="n">
        <v>1996</v>
      </c>
      <c r="W253" s="10" t="n">
        <v>86</v>
      </c>
      <c r="X253" s="11" t="n">
        <v>1822.79999999999</v>
      </c>
      <c r="Y253" s="8" t="inlineStr">
        <is>
          <t>Pacific</t>
        </is>
      </c>
      <c r="Z253" s="8" t="inlineStr">
        <is>
          <t>New South Wales (NSW)</t>
        </is>
      </c>
      <c r="AA253" s="11" t="n">
        <v>6457.90015916475</v>
      </c>
      <c r="AB253" s="8" t="inlineStr">
        <is>
          <t>Steadfast Group Ltd. operates as an insurance broker, which provides services to Steadfast Network Brokers. It also distributes insurance policies via insurance brokerages and underwriting agencies and provides related services. The company was founded by Robert Bernard Kelly on April 17, 1996, and is headquartered in Sydney, Australia.</t>
        </is>
      </c>
      <c r="AC253" s="8" t="inlineStr">
        <is>
          <t>Insurance Brokerage</t>
        </is>
      </c>
      <c r="AD253" s="8" t="inlineStr">
        <is>
          <t>Insurance</t>
        </is>
      </c>
      <c r="AE253" s="8" t="inlineStr">
        <is>
          <t>Insurance</t>
        </is>
      </c>
      <c r="AF253" s="12" t="inlineStr">
        <is>
          <t>Insurance Brokerage</t>
        </is>
      </c>
      <c r="AH253" t="n">
        <v>538</v>
      </c>
      <c r="AI253" t="n">
        <v>1</v>
      </c>
      <c r="AJ253" t="inlineStr">
        <is>
          <t>economy. As part of our commitment to environmental,
,"Scope 1 tCO2e
538</t>
        </is>
      </c>
      <c r="AK253" t="n">
        <v>1534</v>
      </c>
      <c r="AL253" t="n">
        <v>1</v>
      </c>
      <c r="AM253" t="inlineStr">
        <is>
          <t>"stewardship, we have set long-term and achievable goals",
aimed at enhancing our environmental performance and,"Scope 2 tCO2e
1,534</t>
        </is>
      </c>
      <c r="AN253" t="n">
        <v>0</v>
      </c>
      <c r="AQ253" t="n">
        <v>0</v>
      </c>
      <c r="AR253" t="n">
        <v>0.183728</v>
      </c>
      <c r="AS253" t="n">
        <v>0</v>
      </c>
    </row>
    <row r="254" ht="15" customHeight="1">
      <c r="A254" s="8" t="inlineStr">
        <is>
          <t>BAP-AU</t>
        </is>
      </c>
      <c r="B254" s="8" t="inlineStr">
        <is>
          <t>Bapcor Ltd.</t>
        </is>
      </c>
      <c r="C254" s="8" t="n"/>
      <c r="D254" s="8" t="n"/>
      <c r="E254" s="8" t="n"/>
      <c r="F254" s="8" t="n"/>
      <c r="G254" s="8" t="n"/>
      <c r="H254" s="8" t="n"/>
      <c r="I254" s="8" t="n"/>
      <c r="J254" s="8" t="n"/>
      <c r="K254" s="8" t="n"/>
      <c r="L254" s="8" t="n"/>
      <c r="M254" s="8" t="n"/>
      <c r="N254" s="17" t="n"/>
      <c r="O254" s="17" t="n"/>
      <c r="P254" s="17" t="n"/>
      <c r="Q254" s="17" t="n"/>
      <c r="R254" s="10">
        <f>IFERROR(_xlfn.XLOOKUP($A254,Profitability!$A$5:$A$342,Profitability!$Q$5:$Q$342),"na")</f>
        <v/>
      </c>
      <c r="S254" s="10">
        <f>IFERROR(_xlfn.XLOOKUP($A254,Profitability!$A$5:$A$342,Profitability!$R$5:$R$342),"na")</f>
        <v/>
      </c>
      <c r="T254" s="8" t="inlineStr">
        <is>
          <t>Public</t>
        </is>
      </c>
      <c r="U254" s="8" t="inlineStr">
        <is>
          <t>Australia</t>
        </is>
      </c>
      <c r="V254" s="9" t="n">
        <v>2011</v>
      </c>
      <c r="W254" s="10" t="n">
        <v>5100</v>
      </c>
      <c r="X254" s="11" t="n">
        <v>1975.76699999999</v>
      </c>
      <c r="Y254" s="8" t="inlineStr">
        <is>
          <t>Pacific</t>
        </is>
      </c>
      <c r="Z254" s="8" t="inlineStr">
        <is>
          <t>Victoria (VIC)</t>
        </is>
      </c>
      <c r="AA254" s="11" t="n">
        <v>1895.7970467248</v>
      </c>
      <c r="AB254" s="8" t="inlineStr">
        <is>
          <t>Bapcor Ltd. engages in the business of selling and distributing vehicle parts, accessories, automotive equipment, service, and solutions. It operates through the following segments: Trade, Specialist Wholesale, Retail, New Zealand (NZ), and Head Office. The Trade segment focuses on the automotive aftermarket parts distribution to independent and chain mechanic workshops. The Specialist Wholesale segment includes specialized wholesale distribution and network channel areas of the organization that focus on a specific automotive area. The Retail segment is involved in accessory stores that are positioned as the first-choice destination for both the everyday consumer and automotive enthusiast. The NZ segment provides parts and equipment solutions across New Zealand. The company was founded by Garry Johnson and Ron Burgoine in 1971 and is headquartered in Melbourne Airport, Australia.</t>
        </is>
      </c>
      <c r="AC254" s="8" t="inlineStr">
        <is>
          <t>Motor Vehicles and Parts Sales and Rental</t>
        </is>
      </c>
      <c r="AD254" s="8" t="inlineStr">
        <is>
          <t>Auto Retail</t>
        </is>
      </c>
      <c r="AE254" s="8" t="inlineStr">
        <is>
          <t>Miscellaneous Retail</t>
        </is>
      </c>
      <c r="AF254" s="12" t="inlineStr">
        <is>
          <t>Automotive Parts, Accessories and Tires Sales</t>
        </is>
      </c>
      <c r="AH254" t="n">
        <v>13500</v>
      </c>
      <c r="AI254" t="n">
        <v>0.9</v>
      </c>
      <c r="AJ254" t="inlineStr">
        <is>
          <t>Emissions scope2,FY23,FY24,FY25,Targets
Scope 1,"14,250","14,567","13,500",Reduce Scope 1 and 2
,,,,"emissions by 40% by FY30,"</t>
        </is>
      </c>
      <c r="AK254" t="n">
        <v>14097</v>
      </c>
      <c r="AL254" t="n">
        <v>0.9</v>
      </c>
      <c r="AM254" t="inlineStr">
        <is>
          <t>,,,,"emissions by 40% by FY30,"
Scope 2 (market‑based),"13,811","14,2 85","14,097",from an FY23 baseline
Scope 2 (location‑based),"14,071","15,318","14,940",Reduce Scope 1 and 2</t>
        </is>
      </c>
      <c r="AN254" t="n">
        <v>0</v>
      </c>
      <c r="AQ254" t="n">
        <v>2</v>
      </c>
      <c r="AR254" t="n">
        <v>0.014242</v>
      </c>
      <c r="AS254" t="n">
        <v>0.001012</v>
      </c>
    </row>
    <row r="255" ht="15" customHeight="1">
      <c r="A255" s="8" t="inlineStr">
        <is>
          <t>WTC-AU</t>
        </is>
      </c>
      <c r="B255" s="8" t="inlineStr">
        <is>
          <t>Wisetech Global Ltd.</t>
        </is>
      </c>
      <c r="C255" s="8" t="n"/>
      <c r="D255" s="8" t="n"/>
      <c r="E255" s="8" t="n"/>
      <c r="F255" s="8" t="n"/>
      <c r="G255" s="8" t="n"/>
      <c r="H255" s="8" t="n"/>
      <c r="I255" s="8" t="n"/>
      <c r="J255" s="8" t="n"/>
      <c r="K255" s="8" t="n"/>
      <c r="L255" s="8" t="n"/>
      <c r="M255" s="8" t="n"/>
      <c r="N255" s="17" t="n"/>
      <c r="O255" s="17" t="n"/>
      <c r="P255" s="17" t="n"/>
      <c r="Q255" s="17" t="n"/>
      <c r="R255" s="10">
        <f>IFERROR(_xlfn.XLOOKUP($A255,Profitability!$A$5:$A$342,Profitability!$Q$5:$Q$342),"na")</f>
        <v/>
      </c>
      <c r="S255" s="10">
        <f>IFERROR(_xlfn.XLOOKUP($A255,Profitability!$A$5:$A$342,Profitability!$R$5:$R$342),"na")</f>
        <v/>
      </c>
      <c r="T255" s="8" t="inlineStr">
        <is>
          <t>Public</t>
        </is>
      </c>
      <c r="U255" s="8" t="inlineStr">
        <is>
          <t>Australia</t>
        </is>
      </c>
      <c r="V255" s="9" t="n">
        <v>1994</v>
      </c>
      <c r="W255" s="10" t="n">
        <v>3600</v>
      </c>
      <c r="X255" s="11" t="n">
        <v>1202.38224041171</v>
      </c>
      <c r="Y255" s="8" t="inlineStr">
        <is>
          <t>Pacific</t>
        </is>
      </c>
      <c r="Z255" s="8" t="inlineStr">
        <is>
          <t>New South Wales (NSW)</t>
        </is>
      </c>
      <c r="AA255" s="11" t="n">
        <v>3409.0181659829</v>
      </c>
      <c r="AB255" s="8" t="inlineStr">
        <is>
          <t>Wisetech Global Ltd. engages in the provision of software to the logistics services industry. The company was founded by Maree McDonald Isaacs and Richard John White on August 2, 1994 and is headquartered in Sydney, Australia.</t>
        </is>
      </c>
      <c r="AC255" s="8" t="inlineStr">
        <is>
          <t>Enterprise Management Software</t>
        </is>
      </c>
      <c r="AD255" s="8" t="inlineStr">
        <is>
          <t>Software</t>
        </is>
      </c>
      <c r="AE255" s="8" t="inlineStr">
        <is>
          <t>Software and Consulting</t>
        </is>
      </c>
      <c r="AF255" s="12" t="inlineStr">
        <is>
          <t>Enterprise Resource Planning Software</t>
        </is>
      </c>
      <c r="AH255" t="n">
        <v>348227</v>
      </c>
      <c r="AI255" t="n">
        <v>1</v>
      </c>
      <c r="AJ255" t="inlineStr">
        <is>
          <t>Scope 1 emissions,348,2272</t>
        </is>
      </c>
      <c r="AK255" t="n">
        <v>3301</v>
      </c>
      <c r="AL255" t="n">
        <v>1</v>
      </c>
      <c r="AM255" t="inlineStr">
        <is>
          <t>Scope 2 (Market-based),"3,301","3,1112"</t>
        </is>
      </c>
      <c r="AN255" t="n">
        <v>22557</v>
      </c>
      <c r="AO255" t="n">
        <v>1</v>
      </c>
      <c r="AP255" t="inlineStr">
        <is>
          <t>Scope 3,"22,5573","4,5853"</t>
        </is>
      </c>
      <c r="AQ255" t="n">
        <v>8</v>
      </c>
      <c r="AR255" t="n">
        <v>0.257737</v>
      </c>
      <c r="AS255" t="n">
        <v>0.006653</v>
      </c>
    </row>
    <row r="256" ht="15" customHeight="1">
      <c r="A256" s="8" t="inlineStr">
        <is>
          <t>CBO-AU</t>
        </is>
      </c>
      <c r="B256" s="8" t="inlineStr">
        <is>
          <t>Cobram Estate Olives Ltd.</t>
        </is>
      </c>
      <c r="C256" s="8" t="n"/>
      <c r="D256" s="8" t="n"/>
      <c r="E256" s="8" t="n"/>
      <c r="F256" s="8" t="n"/>
      <c r="G256" s="8" t="n"/>
      <c r="H256" s="8" t="n"/>
      <c r="I256" s="8" t="n"/>
      <c r="J256" s="8" t="n"/>
      <c r="K256" s="8" t="n"/>
      <c r="L256" s="8" t="n"/>
      <c r="M256" s="8" t="n"/>
      <c r="N256" s="17" t="n"/>
      <c r="O256" s="17" t="n"/>
      <c r="P256" s="17" t="n"/>
      <c r="Q256" s="17" t="n"/>
      <c r="R256" s="10">
        <f>IFERROR(_xlfn.XLOOKUP($A256,Profitability!$A$5:$A$342,Profitability!$Q$5:$Q$342),"na")</f>
        <v/>
      </c>
      <c r="S256" s="10">
        <f>IFERROR(_xlfn.XLOOKUP($A256,Profitability!$A$5:$A$342,Profitability!$R$5:$R$342),"na")</f>
        <v/>
      </c>
      <c r="T256" s="8" t="inlineStr">
        <is>
          <t>Public</t>
        </is>
      </c>
      <c r="U256" s="8" t="inlineStr">
        <is>
          <t>Australia</t>
        </is>
      </c>
      <c r="V256" s="9" t="n">
        <v>1998</v>
      </c>
      <c r="W256" s="10" t="inlineStr">
        <is>
          <t>-</t>
        </is>
      </c>
      <c r="X256" s="11" t="n">
        <v>241.658999999999</v>
      </c>
      <c r="Y256" s="8" t="inlineStr">
        <is>
          <t>Pacific</t>
        </is>
      </c>
      <c r="Z256" s="8" t="inlineStr">
        <is>
          <t>Victoria (VIC)</t>
        </is>
      </c>
      <c r="AA256" s="11" t="n">
        <v>821.193020239548</v>
      </c>
      <c r="AB256" s="8" t="inlineStr">
        <is>
          <t>Cobram Estate Olives Ltd. engages in farming olives and producing olive oil. It offers bulk extra virgin, vinegars, foodservice and private label products. It operates through the following segments: Olive Oil Australian Operations, Olive Oil USA Operations, Boundary Bend Wellness, and Eliminations and Corporate. The company was founded by Robert McGavin and Paul Riordan in 1998 and is headquartered in Lara, Australia.</t>
        </is>
      </c>
      <c r="AC256" s="8" t="inlineStr">
        <is>
          <t>Food Production</t>
        </is>
      </c>
      <c r="AD256" s="8" t="inlineStr">
        <is>
          <t>Food and Beverage Production</t>
        </is>
      </c>
      <c r="AE256" s="8" t="inlineStr">
        <is>
          <t>Food and Tobacco Production</t>
        </is>
      </c>
      <c r="AF256" s="12" t="inlineStr">
        <is>
          <t>Other Food Production</t>
        </is>
      </c>
      <c r="AR256" t="n">
        <v>0.20538</v>
      </c>
    </row>
    <row r="257" ht="15" customHeight="1">
      <c r="A257" s="8" t="inlineStr">
        <is>
          <t>MTO-AU</t>
        </is>
      </c>
      <c r="B257" s="8" t="inlineStr">
        <is>
          <t>Motorcycle Holdings Ltd.</t>
        </is>
      </c>
      <c r="C257" s="8" t="n"/>
      <c r="D257" s="8" t="n"/>
      <c r="E257" s="8" t="n"/>
      <c r="F257" s="8" t="n"/>
      <c r="G257" s="8" t="n"/>
      <c r="H257" s="8" t="n"/>
      <c r="I257" s="8" t="n"/>
      <c r="J257" s="8" t="n"/>
      <c r="K257" s="8" t="n"/>
      <c r="L257" s="8" t="n"/>
      <c r="M257" s="8" t="n"/>
      <c r="N257" s="17" t="n"/>
      <c r="O257" s="17" t="n"/>
      <c r="P257" s="17" t="n"/>
      <c r="Q257" s="17" t="n"/>
      <c r="R257" s="10">
        <f>IFERROR(_xlfn.XLOOKUP($A257,Profitability!$A$5:$A$342,Profitability!$Q$5:$Q$342),"na")</f>
        <v/>
      </c>
      <c r="S257" s="10">
        <f>IFERROR(_xlfn.XLOOKUP($A257,Profitability!$A$5:$A$342,Profitability!$R$5:$R$342),"na")</f>
        <v/>
      </c>
      <c r="T257" s="8" t="inlineStr">
        <is>
          <t>Public</t>
        </is>
      </c>
      <c r="U257" s="8" t="inlineStr">
        <is>
          <t>Australia</t>
        </is>
      </c>
      <c r="V257" s="9" t="n">
        <v>1989</v>
      </c>
      <c r="W257" s="10" t="inlineStr">
        <is>
          <t>-</t>
        </is>
      </c>
      <c r="X257" s="11" t="n">
        <v>649.9930000000001</v>
      </c>
      <c r="Y257" s="8" t="inlineStr">
        <is>
          <t>Pacific</t>
        </is>
      </c>
      <c r="Z257" s="8" t="inlineStr">
        <is>
          <t>Queensland (QLD)</t>
        </is>
      </c>
      <c r="AA257" s="11" t="n">
        <v>428.886010570547</v>
      </c>
      <c r="AB257" s="8" t="inlineStr">
        <is>
          <t>Motorcycle Holdings Ltd. engages in the ownership and operation of motorcycle dealerships. The firm also owns and manages a rider training school and a motorcycle repair business which performs smash repair work for insurers. It operates through Motorcycle Retailing and Motorcycle and Accessories Wholesaling segments. The Motorcycle Retailing segment includes the sale of new and used motorcycles, parts, servicing, accessories, and mechanical protection plan contracts. The Motorcycle and Accessories Wholesaling segment imports and distributes a diversified range of motorcycles, ATVs, scooters, and motorcycle parts and accessories to wholesale customers in Australia and New Zealand including the group’s own retail outlets. The company was founded by David Ahmet in 1989 and is headquartered in Slacks Creek, Australia.</t>
        </is>
      </c>
      <c r="AC257" s="8" t="inlineStr">
        <is>
          <t>Motor Vehicle Sales</t>
        </is>
      </c>
      <c r="AD257" s="8" t="inlineStr">
        <is>
          <t>Auto Retail</t>
        </is>
      </c>
      <c r="AE257" s="8" t="inlineStr">
        <is>
          <t>Miscellaneous Retail</t>
        </is>
      </c>
      <c r="AF257" s="12" t="inlineStr">
        <is>
          <t>Other Motor Vehicle Sales</t>
        </is>
      </c>
      <c r="AR257" t="n">
        <v>0.027726</v>
      </c>
    </row>
    <row r="258" ht="15" customHeight="1">
      <c r="A258" s="8" t="inlineStr">
        <is>
          <t>DXI-AU</t>
        </is>
      </c>
      <c r="B258" s="8" t="inlineStr">
        <is>
          <t>Dexus Industria REIT</t>
        </is>
      </c>
      <c r="C258" s="8" t="n"/>
      <c r="D258" s="8" t="n"/>
      <c r="E258" s="8" t="n"/>
      <c r="F258" s="8" t="n"/>
      <c r="G258" s="8" t="n"/>
      <c r="H258" s="8" t="n"/>
      <c r="I258" s="8" t="n"/>
      <c r="J258" s="8" t="n"/>
      <c r="K258" s="8" t="n"/>
      <c r="L258" s="8" t="n"/>
      <c r="M258" s="8" t="n"/>
      <c r="N258" s="17" t="n"/>
      <c r="O258" s="17" t="n"/>
      <c r="P258" s="17" t="n"/>
      <c r="Q258" s="17" t="n"/>
      <c r="R258" s="10">
        <f>IFERROR(_xlfn.XLOOKUP($A258,Profitability!$A$5:$A$342,Profitability!$Q$5:$Q$342),"na")</f>
        <v/>
      </c>
      <c r="S258" s="10">
        <f>IFERROR(_xlfn.XLOOKUP($A258,Profitability!$A$5:$A$342,Profitability!$R$5:$R$342),"na")</f>
        <v/>
      </c>
      <c r="T258" s="8" t="inlineStr">
        <is>
          <t>Public</t>
        </is>
      </c>
      <c r="U258" s="8" t="inlineStr">
        <is>
          <t>Australia</t>
        </is>
      </c>
      <c r="V258" s="9" t="n">
        <v>2013</v>
      </c>
      <c r="W258" s="10" t="inlineStr">
        <is>
          <t>-</t>
        </is>
      </c>
      <c r="X258" s="11" t="n">
        <v>75.095</v>
      </c>
      <c r="Y258" s="8" t="inlineStr">
        <is>
          <t>Pacific</t>
        </is>
      </c>
      <c r="Z258" s="8" t="inlineStr">
        <is>
          <t>New South Wales (NSW)</t>
        </is>
      </c>
      <c r="AA258" s="11" t="n">
        <v>1460.54003599722</v>
      </c>
      <c r="AB258" s="8" t="inlineStr">
        <is>
          <t>Dexus Industria REIT is an Australian real estate investment trust, which engages in interests in a workspace focused portfolio of several established, industrial, technology park and business park assets. It operates through the Direct Investments and Joint Ventures segments. It also provides investors with stable cash returns and the potential for income and capital growth by investing in workspace focused real estate. The company was founded in October 2013 and is headquartered in Sydney, Australia.</t>
        </is>
      </c>
      <c r="AC258" s="8" t="inlineStr">
        <is>
          <t>Equity REITs</t>
        </is>
      </c>
      <c r="AD258" s="8" t="inlineStr">
        <is>
          <t>Real Estate Investment Trusts (REITs)</t>
        </is>
      </c>
      <c r="AE258" s="8" t="inlineStr">
        <is>
          <t>Real Estate</t>
        </is>
      </c>
      <c r="AF258" s="12" t="inlineStr">
        <is>
          <t>Equity REITs</t>
        </is>
      </c>
      <c r="AR258" t="n">
        <v>1.121153</v>
      </c>
    </row>
    <row r="259" ht="15" customHeight="1">
      <c r="A259" s="8" t="inlineStr">
        <is>
          <t>LFG-AU</t>
        </is>
      </c>
      <c r="B259" s="8" t="inlineStr">
        <is>
          <t>Liberty Financial Group Ltd. (Australia)</t>
        </is>
      </c>
      <c r="C259" s="8" t="n"/>
      <c r="D259" s="8" t="n"/>
      <c r="E259" s="8" t="n"/>
      <c r="F259" s="8" t="n"/>
      <c r="G259" s="8" t="n"/>
      <c r="H259" s="8" t="n"/>
      <c r="I259" s="8" t="n"/>
      <c r="J259" s="8" t="n"/>
      <c r="K259" s="8" t="n"/>
      <c r="L259" s="8" t="n"/>
      <c r="M259" s="8" t="n"/>
      <c r="N259" s="17" t="n"/>
      <c r="O259" s="17" t="n"/>
      <c r="P259" s="17" t="n"/>
      <c r="Q259" s="17" t="n"/>
      <c r="R259" s="10">
        <f>IFERROR(_xlfn.XLOOKUP($A259,Profitability!$A$5:$A$342,Profitability!$Q$5:$Q$342),"na")</f>
        <v/>
      </c>
      <c r="S259" s="10">
        <f>IFERROR(_xlfn.XLOOKUP($A259,Profitability!$A$5:$A$342,Profitability!$R$5:$R$342),"na")</f>
        <v/>
      </c>
      <c r="T259" s="8" t="inlineStr">
        <is>
          <t>Public</t>
        </is>
      </c>
      <c r="U259" s="8" t="inlineStr">
        <is>
          <t>Australia</t>
        </is>
      </c>
      <c r="V259" s="9" t="n">
        <v>2007</v>
      </c>
      <c r="W259" s="10" t="inlineStr">
        <is>
          <t>-</t>
        </is>
      </c>
      <c r="X259" s="11" t="n">
        <v>1492.738</v>
      </c>
      <c r="Y259" s="8" t="inlineStr">
        <is>
          <t>Pacific</t>
        </is>
      </c>
      <c r="Z259" s="8" t="inlineStr">
        <is>
          <t>Victoria (VIC)</t>
        </is>
      </c>
      <c r="AA259" s="11" t="n">
        <v>16242.6464003246</v>
      </c>
      <c r="AB259" s="8" t="inlineStr">
        <is>
          <t>Liberty Financial Group Ltd. engages in financial services industry, which offers lending, finance and insurance brokering, receivables servicing, consumer insurance underwriting, real estate, and funds management. It operates through the following segments: Residential Finance, Secured Finance, Financial Services, and Corporate. The Residential Finance segment provides finance in prime and custom residential loans. The Secured Finance segment provides motor finance and commercial finance. The Financial Services segment provides personal loans, SME lending, broker network and aggregators, insurance, and investments. The company was founded in 1997 and is headquartered in Melbourne, Australia.</t>
        </is>
      </c>
      <c r="AC259" s="8" t="inlineStr">
        <is>
          <t>Commercial Finance Services</t>
        </is>
      </c>
      <c r="AD259" s="8" t="inlineStr">
        <is>
          <t>Specialty Finance</t>
        </is>
      </c>
      <c r="AE259" s="8" t="inlineStr">
        <is>
          <t>Specialty Finance and Services</t>
        </is>
      </c>
      <c r="AF259" s="12" t="inlineStr">
        <is>
          <t>Other Commercial Finance</t>
        </is>
      </c>
      <c r="AR259" t="n">
        <v>0.089749</v>
      </c>
    </row>
    <row r="260" ht="15" customHeight="1">
      <c r="A260" s="8" t="inlineStr">
        <is>
          <t>ORA-AU</t>
        </is>
      </c>
      <c r="B260" s="8" t="inlineStr">
        <is>
          <t>Orora Ltd.</t>
        </is>
      </c>
      <c r="C260" s="8" t="n"/>
      <c r="D260" s="8" t="n"/>
      <c r="E260" s="8" t="n"/>
      <c r="F260" s="8" t="n"/>
      <c r="G260" s="8" t="n"/>
      <c r="H260" s="8" t="n"/>
      <c r="I260" s="8" t="n"/>
      <c r="J260" s="8" t="n"/>
      <c r="K260" s="8" t="n"/>
      <c r="L260" s="8" t="n"/>
      <c r="M260" s="8" t="n"/>
      <c r="N260" s="17" t="n"/>
      <c r="O260" s="17" t="n"/>
      <c r="P260" s="10" t="n">
        <v>202259</v>
      </c>
      <c r="Q260" s="10" t="n">
        <v>74648</v>
      </c>
      <c r="R260" s="10">
        <f>IFERROR(_xlfn.XLOOKUP($A260,Profitability!$A$5:$A$342,Profitability!$Q$5:$Q$342),"na")</f>
        <v/>
      </c>
      <c r="S260" s="10">
        <f>IFERROR(_xlfn.XLOOKUP($A260,Profitability!$A$5:$A$342,Profitability!$R$5:$R$342),"na")</f>
        <v/>
      </c>
      <c r="T260" s="8" t="inlineStr">
        <is>
          <t>Public</t>
        </is>
      </c>
      <c r="U260" s="8" t="inlineStr">
        <is>
          <t>Australia</t>
        </is>
      </c>
      <c r="V260" s="9" t="n">
        <v>1949</v>
      </c>
      <c r="W260" s="10" t="n">
        <v>4300</v>
      </c>
      <c r="X260" s="11" t="n">
        <v>2090.2</v>
      </c>
      <c r="Y260" s="8" t="inlineStr">
        <is>
          <t>Pacific</t>
        </is>
      </c>
      <c r="Z260" s="8" t="inlineStr">
        <is>
          <t>Victoria (VIC)</t>
        </is>
      </c>
      <c r="AA260" s="11" t="n">
        <v>4916.800121182</v>
      </c>
      <c r="AB260" s="8" t="inlineStr">
        <is>
          <t>Orora Ltd. engages in the manufacturing and distribution of fiber, glass and aluminum beverage cans. It operates through the Orora Australasia and Orora North America segments. The Orora Australasia segment focuses on the manufacture of fiber and beverage packaging products within Australia and New Zealand. The Orora North America segment refers to the purchasing, warehousing, selling and delivering a range of packaging and other related materials. The company was founded in 1949 and is headquartered in Hawthorn, Australia.</t>
        </is>
      </c>
      <c r="AC260" s="8" t="inlineStr">
        <is>
          <t>Other Containers and Packaging Products</t>
        </is>
      </c>
      <c r="AD260" s="8" t="inlineStr">
        <is>
          <t>Containers and Packaging</t>
        </is>
      </c>
      <c r="AE260" s="8" t="inlineStr">
        <is>
          <t>Manufactured Products</t>
        </is>
      </c>
      <c r="AF260" s="12" t="inlineStr">
        <is>
          <t>Glass Container Manufacturing</t>
        </is>
      </c>
      <c r="AH260" t="n">
        <v>415000</v>
      </c>
      <c r="AI260" t="n">
        <v>1</v>
      </c>
      <c r="AJ260" t="inlineStr">
        <is>
          <t>,Climate Change Metrics,,,,Circular Economy Metrics,,
,Scope 1 GHG Emissions,427k,ktCO2e,,Circularity Metric for OPS,62,%
,Scope 2 GHG Emissions (Location-,,,,,,</t>
        </is>
      </c>
      <c r="AK260" t="n">
        <v>121000</v>
      </c>
      <c r="AL260" t="n">
        <v>1</v>
      </c>
      <c r="AM260" t="inlineStr">
        <is>
          <t>Fuel and energy related activities (33.7%)
Business travel (0.4%)
Upstream transportation and distribution (6.4%)</t>
        </is>
      </c>
      <c r="AN260" t="n">
        <v>771317</v>
      </c>
      <c r="AQ260" t="n">
        <v>3</v>
      </c>
      <c r="AR260" t="n">
        <v>0.031672</v>
      </c>
      <c r="AS260" t="n">
        <v>0.001435</v>
      </c>
    </row>
    <row r="261" ht="15" customHeight="1">
      <c r="A261" s="8" t="inlineStr">
        <is>
          <t>HPI-AU</t>
        </is>
      </c>
      <c r="B261" s="8" t="inlineStr">
        <is>
          <t>Hotel Property Investments Ltd.</t>
        </is>
      </c>
      <c r="C261" s="8" t="n"/>
      <c r="D261" s="8" t="n"/>
      <c r="E261" s="8" t="n"/>
      <c r="F261" s="8" t="n"/>
      <c r="G261" s="8" t="n"/>
      <c r="H261" s="8" t="n"/>
      <c r="I261" s="8" t="n"/>
      <c r="J261" s="8" t="n"/>
      <c r="K261" s="8" t="n"/>
      <c r="L261" s="8" t="n"/>
      <c r="M261" s="8" t="n"/>
      <c r="N261" s="17" t="n"/>
      <c r="O261" s="17" t="n"/>
      <c r="P261" s="17" t="n"/>
      <c r="Q261" s="17" t="n"/>
      <c r="R261" s="10">
        <f>IFERROR(_xlfn.XLOOKUP($A261,Profitability!$A$5:$A$342,Profitability!$Q$5:$Q$342),"na")</f>
        <v/>
      </c>
      <c r="S261" s="10">
        <f>IFERROR(_xlfn.XLOOKUP($A261,Profitability!$A$5:$A$342,Profitability!$R$5:$R$342),"na")</f>
        <v/>
      </c>
      <c r="T261" s="8" t="inlineStr">
        <is>
          <t>Public</t>
        </is>
      </c>
      <c r="U261" s="8" t="inlineStr">
        <is>
          <t>Australia</t>
        </is>
      </c>
      <c r="V261" s="9" t="n">
        <v>1981</v>
      </c>
      <c r="W261" s="10" t="inlineStr">
        <is>
          <t>-</t>
        </is>
      </c>
      <c r="X261" s="11" t="n">
        <v>82.3599999999999</v>
      </c>
      <c r="Y261" s="8" t="inlineStr">
        <is>
          <t>Pacific</t>
        </is>
      </c>
      <c r="Z261" s="8" t="inlineStr">
        <is>
          <t>Victoria (VIC)</t>
        </is>
      </c>
      <c r="AA261" s="11" t="n">
        <v>1288.80899025166</v>
      </c>
      <c r="AB261" s="8" t="inlineStr">
        <is>
          <t>Hotel Property Investments Ltd. owns a portfolio of freehold properties, comprising pubs along with associated specialty stores located on the pub sites. Its properties are located throughout Queensland and South Australia. The company was founded on June 22, 1981 and is headquartered in Southbank, Australia.</t>
        </is>
      </c>
      <c r="AC261" s="8" t="inlineStr">
        <is>
          <t>Equity REITs</t>
        </is>
      </c>
      <c r="AD261" s="8" t="inlineStr">
        <is>
          <t>Real Estate Investment Trusts (REITs)</t>
        </is>
      </c>
      <c r="AE261" s="8" t="inlineStr">
        <is>
          <t>Real Estate</t>
        </is>
      </c>
      <c r="AF261" s="12" t="inlineStr">
        <is>
          <t>Equity REITs</t>
        </is>
      </c>
      <c r="AR261" t="n">
        <v>0.437045</v>
      </c>
    </row>
    <row r="262" ht="15" customHeight="1">
      <c r="A262" s="8" t="inlineStr">
        <is>
          <t>NSR-AU</t>
        </is>
      </c>
      <c r="B262" s="8" t="inlineStr">
        <is>
          <t>National Storage REIT</t>
        </is>
      </c>
      <c r="C262" s="8" t="n"/>
      <c r="D262" s="8" t="n"/>
      <c r="E262" s="8" t="n"/>
      <c r="F262" s="8" t="n"/>
      <c r="G262" s="8" t="n"/>
      <c r="H262" s="8" t="n"/>
      <c r="I262" s="8" t="n"/>
      <c r="J262" s="8" t="n"/>
      <c r="K262" s="8" t="n"/>
      <c r="L262" s="8" t="n"/>
      <c r="M262" s="8" t="n"/>
      <c r="N262" s="17" t="n"/>
      <c r="O262" s="17" t="n"/>
      <c r="P262" s="17" t="n"/>
      <c r="Q262" s="17" t="n"/>
      <c r="R262" s="10">
        <f>IFERROR(_xlfn.XLOOKUP($A262,Profitability!$A$5:$A$342,Profitability!$Q$5:$Q$342),"na")</f>
        <v/>
      </c>
      <c r="S262" s="10">
        <f>IFERROR(_xlfn.XLOOKUP($A262,Profitability!$A$5:$A$342,Profitability!$R$5:$R$342),"na")</f>
        <v/>
      </c>
      <c r="T262" s="8" t="inlineStr">
        <is>
          <t>Public</t>
        </is>
      </c>
      <c r="U262" s="8" t="inlineStr">
        <is>
          <t>Australia</t>
        </is>
      </c>
      <c r="V262" s="9" t="n">
        <v>2013</v>
      </c>
      <c r="W262" s="10" t="n">
        <v>679</v>
      </c>
      <c r="X262" s="11" t="n">
        <v>392.499999999999</v>
      </c>
      <c r="Y262" s="8" t="inlineStr">
        <is>
          <t>Pacific</t>
        </is>
      </c>
      <c r="Z262" s="8" t="inlineStr">
        <is>
          <t>Queensland (QLD)</t>
        </is>
      </c>
      <c r="AA262" s="11" t="n">
        <v>5797.30014288327</v>
      </c>
      <c r="AB262" s="8" t="inlineStr">
        <is>
          <t>National Storage REIT engages in providing self-storage and tailoring self-storage solutions to residential and commercial customers. It offers spans self-storage, business storage, records management, climate-controlled wine storage, vehicle storage, vehicle and trailer hire, packaging, insurance and other value-added services. The company was founded in December 2013 and is headquartered in Brisbane, Australia.</t>
        </is>
      </c>
      <c r="AC262" s="8" t="inlineStr">
        <is>
          <t>Equity REITs</t>
        </is>
      </c>
      <c r="AD262" s="8" t="inlineStr">
        <is>
          <t>Real Estate Investment Trusts (REITs)</t>
        </is>
      </c>
      <c r="AE262" s="8" t="inlineStr">
        <is>
          <t>Real Estate</t>
        </is>
      </c>
      <c r="AF262" s="12" t="inlineStr">
        <is>
          <t>Equity REITs</t>
        </is>
      </c>
      <c r="AH262" t="n">
        <v>484</v>
      </c>
      <c r="AI262" t="n">
        <v>1</v>
      </c>
      <c r="AJ262" t="inlineStr">
        <is>
          <t>Scope 1 - Fuel Consumed,146.6,145.5,0.8%,,,,,,</t>
        </is>
      </c>
      <c r="AK262" t="n">
        <v>7890</v>
      </c>
      <c r="AL262" t="n">
        <v>1</v>
      </c>
      <c r="AM262" t="inlineStr">
        <is>
          <t>Scope 2 - Electricity,"7,890.1","7,815.0",1.0%,,,,,,</t>
        </is>
      </c>
      <c r="AN262" t="n">
        <v>19306</v>
      </c>
      <c r="AO262" t="n">
        <v>1</v>
      </c>
      <c r="AP262" t="inlineStr">
        <is>
          <t>TOTAL SCOPE 3,"19,306.0","19,981.3",-3.4%,,,,,,</t>
        </is>
      </c>
      <c r="AQ262" t="n">
        <v>1</v>
      </c>
      <c r="AR262" t="n">
        <v>0.601529</v>
      </c>
      <c r="AS262" t="n">
        <v>0.002548</v>
      </c>
    </row>
    <row r="263" ht="15" customHeight="1">
      <c r="A263" s="8" t="inlineStr">
        <is>
          <t>GDI-AU</t>
        </is>
      </c>
      <c r="B263" s="8" t="inlineStr">
        <is>
          <t>GDI Property Group Ltd.</t>
        </is>
      </c>
      <c r="C263" s="8" t="n"/>
      <c r="D263" s="8" t="n"/>
      <c r="E263" s="8" t="n"/>
      <c r="F263" s="8" t="n"/>
      <c r="G263" s="8" t="n"/>
      <c r="H263" s="8" t="n"/>
      <c r="I263" s="8" t="n"/>
      <c r="J263" s="8" t="n"/>
      <c r="K263" s="8" t="n"/>
      <c r="L263" s="8" t="n"/>
      <c r="M263" s="8" t="n"/>
      <c r="N263" s="17" t="n"/>
      <c r="O263" s="17" t="n"/>
      <c r="P263" s="17" t="n"/>
      <c r="Q263" s="17" t="n"/>
      <c r="R263" s="10">
        <f>IFERROR(_xlfn.XLOOKUP($A263,Profitability!$A$5:$A$342,Profitability!$Q$5:$Q$342),"na")</f>
        <v/>
      </c>
      <c r="S263" s="10">
        <f>IFERROR(_xlfn.XLOOKUP($A263,Profitability!$A$5:$A$342,Profitability!$R$5:$R$342),"na")</f>
        <v/>
      </c>
      <c r="T263" s="8" t="inlineStr">
        <is>
          <t>Public</t>
        </is>
      </c>
      <c r="U263" s="8" t="inlineStr">
        <is>
          <t>Australia</t>
        </is>
      </c>
      <c r="V263" s="9" t="n">
        <v>2013</v>
      </c>
      <c r="W263" s="10" t="inlineStr">
        <is>
          <t>-</t>
        </is>
      </c>
      <c r="X263" s="11" t="n">
        <v>81.73399999999999</v>
      </c>
      <c r="Y263" s="8" t="inlineStr">
        <is>
          <t>Pacific</t>
        </is>
      </c>
      <c r="Z263" s="8" t="inlineStr">
        <is>
          <t>New South Wales (NSW)</t>
        </is>
      </c>
      <c r="AA263" s="11" t="n">
        <v>1162.26902864588</v>
      </c>
      <c r="AB263" s="8" t="inlineStr">
        <is>
          <t>GDI Property Group Ltd. operates as a property fund manager. It operates through Property Investment and Funds Management segments. The Property Investment segment is involved in investing and managing properties. The Funds Management segment focuses on establishing and managing property investment vehicles. The company was founded by Anthony Charles Veale in 1993 and is headquartered in Sydney, Australia.</t>
        </is>
      </c>
      <c r="AC263" s="8" t="inlineStr">
        <is>
          <t>Equity REITs</t>
        </is>
      </c>
      <c r="AD263" s="8" t="inlineStr">
        <is>
          <t>Real Estate Investment Trusts (REITs)</t>
        </is>
      </c>
      <c r="AE263" s="8" t="inlineStr">
        <is>
          <t>Real Estate</t>
        </is>
      </c>
      <c r="AF263" s="12" t="inlineStr">
        <is>
          <t>Equity REITs</t>
        </is>
      </c>
      <c r="AR263" t="n">
        <v>0.434177</v>
      </c>
    </row>
    <row r="264" ht="15" customHeight="1">
      <c r="A264" s="8" t="inlineStr">
        <is>
          <t>PGH-AU</t>
        </is>
      </c>
      <c r="B264" s="8" t="inlineStr">
        <is>
          <t>Pact Group Holdings Ltd.</t>
        </is>
      </c>
      <c r="C264" s="8" t="n"/>
      <c r="D264" s="8" t="n"/>
      <c r="E264" s="8" t="n"/>
      <c r="F264" s="8" t="n"/>
      <c r="G264" s="8" t="n"/>
      <c r="H264" s="8" t="n"/>
      <c r="I264" s="8" t="n"/>
      <c r="J264" s="8" t="n"/>
      <c r="K264" s="8" t="n"/>
      <c r="L264" s="8" t="n"/>
      <c r="M264" s="8" t="n"/>
      <c r="N264" s="17" t="n"/>
      <c r="O264" s="17" t="n"/>
      <c r="P264" s="10" t="n">
        <v>15797</v>
      </c>
      <c r="Q264" s="10" t="n">
        <v>168149</v>
      </c>
      <c r="R264" s="10">
        <f>IFERROR(_xlfn.XLOOKUP($A264,Profitability!$A$5:$A$342,Profitability!$Q$5:$Q$342),"na")</f>
        <v/>
      </c>
      <c r="S264" s="10">
        <f>IFERROR(_xlfn.XLOOKUP($A264,Profitability!$A$5:$A$342,Profitability!$R$5:$R$342),"na")</f>
        <v/>
      </c>
      <c r="T264" s="8" t="inlineStr">
        <is>
          <t>Public</t>
        </is>
      </c>
      <c r="U264" s="8" t="inlineStr">
        <is>
          <t>Australia</t>
        </is>
      </c>
      <c r="V264" s="9" t="n">
        <v>2010</v>
      </c>
      <c r="W264" s="10" t="inlineStr">
        <is>
          <t>-</t>
        </is>
      </c>
      <c r="X264" s="11" t="n">
        <v>1803.687</v>
      </c>
      <c r="Y264" s="8" t="inlineStr">
        <is>
          <t>Pacific</t>
        </is>
      </c>
      <c r="Z264" s="8" t="inlineStr">
        <is>
          <t>Victoria (VIC)</t>
        </is>
      </c>
      <c r="AA264" s="11" t="n">
        <v>2091.61898417934</v>
      </c>
      <c r="AB264" s="8" t="inlineStr">
        <is>
          <t>Pact Group Holdings Ltd. engages in the manufacture and supply of rigid plastic and metal packaging. It operates through the following segments: Packaging and Sustainability, Materials Handling and Pooling, and Contract Manufacturing. The company was founded by Raphael Geminder in June 2002 and is headquartered in Cremorne, Australia.</t>
        </is>
      </c>
      <c r="AC264" s="8" t="inlineStr">
        <is>
          <t>Other Containers and Packaging Products</t>
        </is>
      </c>
      <c r="AD264" s="8" t="inlineStr">
        <is>
          <t>Containers and Packaging</t>
        </is>
      </c>
      <c r="AE264" s="8" t="inlineStr">
        <is>
          <t>Manufactured Products</t>
        </is>
      </c>
      <c r="AF264" s="12" t="inlineStr">
        <is>
          <t>Multi-Type Containers and Packaging Makers</t>
        </is>
      </c>
      <c r="AH264" t="n">
        <v>17692</v>
      </c>
      <c r="AI264" t="n">
        <v>1</v>
      </c>
      <c r="AJ264" t="inlineStr">
        <is>
          <t>Scope 1:  17,692</t>
        </is>
      </c>
      <c r="AK264" t="n">
        <v>222536</v>
      </c>
      <c r="AL264" t="n">
        <v>1</v>
      </c>
      <c r="AM264" t="inlineStr">
        <is>
          <t>Scope 2:  222,536</t>
        </is>
      </c>
      <c r="AN264" t="n">
        <v>851442</v>
      </c>
      <c r="AO264" t="n">
        <v>1</v>
      </c>
      <c r="AP264" t="inlineStr">
        <is>
          <t>ENERGY &amp;,Scope 3 Emissions,
,"Although reducing our Scope 1 and 2 emissions is crucial,",Corporate Value Chain (Scope 3) Standard.
,the emissions across our value chain (Scope 3) are much,For further details of the methods used please refer</t>
        </is>
      </c>
      <c r="AQ264" t="n">
        <v>0</v>
      </c>
      <c r="AS264" t="n">
        <v>0</v>
      </c>
    </row>
    <row r="265" ht="15" customHeight="1">
      <c r="A265" s="8" t="inlineStr">
        <is>
          <t>RFF-AU</t>
        </is>
      </c>
      <c r="B265" s="8" t="inlineStr">
        <is>
          <t>Rural Funds Group</t>
        </is>
      </c>
      <c r="C265" s="8" t="n"/>
      <c r="D265" s="8" t="n"/>
      <c r="E265" s="8" t="n"/>
      <c r="F265" s="8" t="n"/>
      <c r="G265" s="8" t="n"/>
      <c r="H265" s="8" t="n"/>
      <c r="I265" s="8" t="n"/>
      <c r="J265" s="8" t="n"/>
      <c r="K265" s="8" t="n"/>
      <c r="L265" s="8" t="n"/>
      <c r="M265" s="8" t="n"/>
      <c r="N265" s="17" t="n"/>
      <c r="O265" s="17" t="n"/>
      <c r="P265" s="17" t="n"/>
      <c r="Q265" s="17" t="n"/>
      <c r="R265" s="10">
        <f>IFERROR(_xlfn.XLOOKUP($A265,Profitability!$A$5:$A$342,Profitability!$Q$5:$Q$342),"na")</f>
        <v/>
      </c>
      <c r="S265" s="10">
        <f>IFERROR(_xlfn.XLOOKUP($A265,Profitability!$A$5:$A$342,Profitability!$R$5:$R$342),"na")</f>
        <v/>
      </c>
      <c r="T265" s="8" t="inlineStr">
        <is>
          <t>Public</t>
        </is>
      </c>
      <c r="U265" s="8" t="inlineStr">
        <is>
          <t>Australia</t>
        </is>
      </c>
      <c r="V265" s="9" t="n">
        <v>1997</v>
      </c>
      <c r="W265" s="10" t="inlineStr">
        <is>
          <t>-</t>
        </is>
      </c>
      <c r="X265" s="11" t="n">
        <v>131.911999999999</v>
      </c>
      <c r="Y265" s="8" t="inlineStr">
        <is>
          <t>Pacific</t>
        </is>
      </c>
      <c r="Z265" s="8" t="inlineStr">
        <is>
          <t>ACT (ACT)</t>
        </is>
      </c>
      <c r="AA265" s="11" t="n">
        <v>1913.97004717269</v>
      </c>
      <c r="AB265" s="8" t="inlineStr">
        <is>
          <t>Rural Funds Group is a real estate investment trust, which holds and leases agricultural property and equipment. Its activities and assets include leasing of almond orchards, macadamia orchards, poultry property and infrastructure, vineyards, cattle properties, cotton property, agricultural plant and equipment, cattle and water rights.. The company was founded on December 19, 2013 and is headquartered in Canberra, Australia.</t>
        </is>
      </c>
      <c r="AC265" s="8" t="inlineStr">
        <is>
          <t>Equity REITs</t>
        </is>
      </c>
      <c r="AD265" s="8" t="inlineStr">
        <is>
          <t>Real Estate Investment Trusts (REITs)</t>
        </is>
      </c>
      <c r="AE265" s="8" t="inlineStr">
        <is>
          <t>Real Estate</t>
        </is>
      </c>
      <c r="AF265" s="12" t="inlineStr">
        <is>
          <t>Equity REITs</t>
        </is>
      </c>
      <c r="AR265" t="n">
        <v>0.197677</v>
      </c>
    </row>
    <row r="266" ht="15" customHeight="1">
      <c r="A266" s="8" t="inlineStr">
        <is>
          <t>SGF-AU</t>
        </is>
      </c>
      <c r="B266" s="8" t="inlineStr">
        <is>
          <t>SG Fleet Group Ltd.</t>
        </is>
      </c>
      <c r="C266" s="8" t="n"/>
      <c r="D266" s="8" t="n"/>
      <c r="E266" s="8" t="n"/>
      <c r="F266" s="8" t="n"/>
      <c r="G266" s="8" t="n"/>
      <c r="H266" s="8" t="n"/>
      <c r="I266" s="8" t="n"/>
      <c r="J266" s="8" t="n"/>
      <c r="K266" s="8" t="n"/>
      <c r="L266" s="8" t="n"/>
      <c r="M266" s="8" t="n"/>
      <c r="N266" s="17" t="n"/>
      <c r="O266" s="17" t="n"/>
      <c r="P266" s="17" t="n"/>
      <c r="Q266" s="17" t="n"/>
      <c r="R266" s="10">
        <f>IFERROR(_xlfn.XLOOKUP($A266,Profitability!$A$5:$A$342,Profitability!$Q$5:$Q$342),"na")</f>
        <v/>
      </c>
      <c r="S266" s="10">
        <f>IFERROR(_xlfn.XLOOKUP($A266,Profitability!$A$5:$A$342,Profitability!$R$5:$R$342),"na")</f>
        <v/>
      </c>
      <c r="T266" s="8" t="inlineStr">
        <is>
          <t>Public</t>
        </is>
      </c>
      <c r="U266" s="8" t="inlineStr">
        <is>
          <t>Australia</t>
        </is>
      </c>
      <c r="V266" s="9" t="n">
        <v>2014</v>
      </c>
      <c r="W266" s="10" t="inlineStr">
        <is>
          <t>-</t>
        </is>
      </c>
      <c r="X266" s="11" t="n">
        <v>737.669</v>
      </c>
      <c r="Y266" s="8" t="inlineStr">
        <is>
          <t>Pacific</t>
        </is>
      </c>
      <c r="Z266" s="8" t="inlineStr">
        <is>
          <t>New South Wales (NSW)</t>
        </is>
      </c>
      <c r="AA266" s="11" t="n">
        <v>3342.23297471991</v>
      </c>
      <c r="AB266" s="8" t="inlineStr">
        <is>
          <t>SG Fleet Group Ltd. engages in provision of fleet management, vehicle leasing and salary packaging services. It offers services to corporate and government customers and individuals. The company was founded in 1986 and is headquartered in Sydney, Australia.</t>
        </is>
      </c>
      <c r="AC266" s="8" t="inlineStr">
        <is>
          <t>Motor Vehicle Sales</t>
        </is>
      </c>
      <c r="AD266" s="8" t="inlineStr">
        <is>
          <t>Auto Retail</t>
        </is>
      </c>
      <c r="AE266" s="8" t="inlineStr">
        <is>
          <t>Miscellaneous Retail</t>
        </is>
      </c>
      <c r="AF266" s="12" t="inlineStr">
        <is>
          <t>Automobile Dealers</t>
        </is>
      </c>
      <c r="AR266" t="n">
        <v>0.121546</v>
      </c>
    </row>
    <row r="267" ht="15" customHeight="1">
      <c r="A267" s="8" t="inlineStr">
        <is>
          <t>OML-AU</t>
        </is>
      </c>
      <c r="B267" s="8" t="inlineStr">
        <is>
          <t>oOh!media Ltd.</t>
        </is>
      </c>
      <c r="C267" s="8" t="n"/>
      <c r="D267" s="8" t="n"/>
      <c r="E267" s="8" t="n"/>
      <c r="F267" s="8" t="n"/>
      <c r="G267" s="8" t="n"/>
      <c r="H267" s="8" t="n"/>
      <c r="I267" s="8" t="n"/>
      <c r="J267" s="8" t="n"/>
      <c r="K267" s="8" t="n"/>
      <c r="L267" s="8" t="n"/>
      <c r="M267" s="8" t="n"/>
      <c r="N267" s="17" t="n"/>
      <c r="O267" s="17" t="n"/>
      <c r="P267" s="17" t="n"/>
      <c r="Q267" s="17" t="n"/>
      <c r="R267" s="10">
        <f>IFERROR(_xlfn.XLOOKUP($A267,Profitability!$A$5:$A$342,Profitability!$Q$5:$Q$342),"na")</f>
        <v/>
      </c>
      <c r="S267" s="10">
        <f>IFERROR(_xlfn.XLOOKUP($A267,Profitability!$A$5:$A$342,Profitability!$R$5:$R$342),"na")</f>
        <v/>
      </c>
      <c r="T267" s="8" t="inlineStr">
        <is>
          <t>Public</t>
        </is>
      </c>
      <c r="U267" s="8" t="inlineStr">
        <is>
          <t>Australia</t>
        </is>
      </c>
      <c r="V267" s="9" t="n">
        <v>2014</v>
      </c>
      <c r="W267" s="10" t="n">
        <v>800</v>
      </c>
      <c r="X267" s="11" t="n">
        <v>635.63</v>
      </c>
      <c r="Y267" s="8" t="inlineStr">
        <is>
          <t>Pacific</t>
        </is>
      </c>
      <c r="Z267" s="8" t="inlineStr">
        <is>
          <t>New South Wales (NSW)</t>
        </is>
      </c>
      <c r="AA267" s="11" t="n">
        <v>1793.71194436217</v>
      </c>
      <c r="AB267" s="8" t="inlineStr">
        <is>
          <t>oOh!media Ltd. engages in providing a range of out-of-home advertising solutions. Its portfolio of location-based media solutions includes large format classic and digital roadside screens, large and small format classic and digital signs located in retail precincts, such as shopping centers, large and small format classic and digital signs in airport terminals and lounges, and classic and digital signs in high dwell time environments, such as cafes, pubs, universities, office buildings, gyms and sporting centers. The firm also offers online sites for students, flyers, small businesses and city-based audiences, and owns a native content production company and digital printing operations. The company was founded by Brendon Jon Cook in April 1989 and is headquartered in North Sydney, Australia.</t>
        </is>
      </c>
      <c r="AC267" s="8" t="inlineStr">
        <is>
          <t>Marketing and Advertising Services</t>
        </is>
      </c>
      <c r="AD267" s="8" t="inlineStr">
        <is>
          <t>Marketing and Printing Services</t>
        </is>
      </c>
      <c r="AE267" s="8" t="inlineStr">
        <is>
          <t>Business Services</t>
        </is>
      </c>
      <c r="AF267" s="12" t="inlineStr">
        <is>
          <t>Other Marketing and Advertising Services</t>
        </is>
      </c>
      <c r="AR267" t="n">
        <v>0.057544</v>
      </c>
    </row>
    <row r="268" ht="15" customHeight="1">
      <c r="A268" s="8" t="inlineStr">
        <is>
          <t>CIA-AU</t>
        </is>
      </c>
      <c r="B268" s="8" t="inlineStr">
        <is>
          <t>Champion Iron Ltd.</t>
        </is>
      </c>
      <c r="C268" s="8" t="n"/>
      <c r="D268" s="8" t="n"/>
      <c r="E268" s="8" t="n"/>
      <c r="F268" s="8" t="n"/>
      <c r="G268" s="8" t="n"/>
      <c r="H268" s="8" t="n"/>
      <c r="I268" s="8" t="n"/>
      <c r="J268" s="8" t="n"/>
      <c r="K268" s="8" t="n"/>
      <c r="L268" s="8" t="n"/>
      <c r="M268" s="8" t="n"/>
      <c r="N268" s="17" t="n"/>
      <c r="O268" s="17" t="n"/>
      <c r="P268" s="17" t="n"/>
      <c r="Q268" s="17" t="n"/>
      <c r="R268" s="10">
        <f>IFERROR(_xlfn.XLOOKUP($A268,Profitability!$A$5:$A$342,Profitability!$Q$5:$Q$342),"na")</f>
        <v/>
      </c>
      <c r="S268" s="10">
        <f>IFERROR(_xlfn.XLOOKUP($A268,Profitability!$A$5:$A$342,Profitability!$R$5:$R$342),"na")</f>
        <v/>
      </c>
      <c r="T268" s="8" t="inlineStr">
        <is>
          <t>Public</t>
        </is>
      </c>
      <c r="U268" s="8" t="inlineStr">
        <is>
          <t>Australia</t>
        </is>
      </c>
      <c r="V268" s="9" t="n">
        <v>2006</v>
      </c>
      <c r="W268" s="10" t="inlineStr">
        <is>
          <t>-</t>
        </is>
      </c>
      <c r="X268" s="11" t="n">
        <v>1771.32389561687</v>
      </c>
      <c r="Y268" s="8" t="inlineStr">
        <is>
          <t>Pacific</t>
        </is>
      </c>
      <c r="Z268" s="8" t="inlineStr">
        <is>
          <t>New South Wales (NSW)</t>
        </is>
      </c>
      <c r="AA268" s="11" t="n">
        <v>3479.28772869925</v>
      </c>
      <c r="AB268" s="8" t="inlineStr">
        <is>
          <t>Champion Iron Ltd. engages in the production, exploration, and development of iron ore properties. It operates through the following segments: Iron Ore Concentrate, Exploration and Evaluation, and Corporate. Its portfolio includes Bloom Lake and Consolidated Fire Lake North. The company was founded on May 18, 2006 and is headquartered in Rozelle, Australia.</t>
        </is>
      </c>
      <c r="AC268" s="8" t="inlineStr">
        <is>
          <t>Base Metal Mining</t>
        </is>
      </c>
      <c r="AD268" s="8" t="inlineStr">
        <is>
          <t>Metal Ore Mining</t>
        </is>
      </c>
      <c r="AE268" s="8" t="inlineStr">
        <is>
          <t>Mining and Mineral Products</t>
        </is>
      </c>
      <c r="AF268" s="12" t="inlineStr">
        <is>
          <t>Other Base Metal Ore Mining</t>
        </is>
      </c>
      <c r="AH268" t="n">
        <v>124118</v>
      </c>
      <c r="AI268" t="n">
        <v>1</v>
      </c>
      <c r="AJ268" t="inlineStr">
        <is>
          <t>"operations  and  processes.  Last  year,  we  transported  a  total  of  65.8  Mt,  comprising",
,"In FY2025, a total of 124,118 tonnes of CO2e were emitted from Scope 1 direct sources"
"40.9 Mt of ore and 24.9 Mt of waste rock. This year, while ore volumes remained stable",</t>
        </is>
      </c>
      <c r="AK268" t="n">
        <v>1171</v>
      </c>
      <c r="AL268" t="n">
        <v>1</v>
      </c>
      <c r="AM268" t="inlineStr">
        <is>
          <t>initiatives in offsetting emissions from increased haulage.,
Our GHG Scope 1 and Scope 2 emissions were calculated based on the GHG Protocol.,</t>
        </is>
      </c>
      <c r="AN268" t="n">
        <v>18287918</v>
      </c>
      <c r="AO268" t="n">
        <v>1</v>
      </c>
      <c r="AP268" t="inlineStr">
        <is>
          <t>Scope 1,"125,617","124,118",
,,,"section. During the financial year 2025, our total Scope 3 emissions stood at 18.3"
Scope 2,"1,169","1,171","Mt  of  CO2e  representing  a  14.6%  year-over-year  increase,  primarily  driven  by"</t>
        </is>
      </c>
      <c r="AQ268" t="n">
        <v>1</v>
      </c>
      <c r="AR268" t="n">
        <v>0.08841499999999999</v>
      </c>
      <c r="AS268" t="n">
        <v>0.000565</v>
      </c>
    </row>
    <row r="269" ht="15" customHeight="1">
      <c r="A269" s="8" t="inlineStr">
        <is>
          <t>HLI-AU</t>
        </is>
      </c>
      <c r="B269" s="8" t="inlineStr">
        <is>
          <t>Helia Group Ltd.</t>
        </is>
      </c>
      <c r="C269" s="8" t="n"/>
      <c r="D269" s="8" t="n"/>
      <c r="E269" s="8" t="n"/>
      <c r="F269" s="8" t="n"/>
      <c r="G269" s="8" t="n"/>
      <c r="H269" s="8" t="n"/>
      <c r="I269" s="8" t="n"/>
      <c r="J269" s="8" t="n"/>
      <c r="K269" s="8" t="n"/>
      <c r="L269" s="8" t="n"/>
      <c r="M269" s="8" t="n"/>
      <c r="N269" s="17" t="n"/>
      <c r="O269" s="17" t="n"/>
      <c r="P269" s="17" t="n"/>
      <c r="Q269" s="17" t="n"/>
      <c r="R269" s="10">
        <f>IFERROR(_xlfn.XLOOKUP($A269,Profitability!$A$5:$A$342,Profitability!$Q$5:$Q$342),"na")</f>
        <v/>
      </c>
      <c r="S269" s="10">
        <f>IFERROR(_xlfn.XLOOKUP($A269,Profitability!$A$5:$A$342,Profitability!$R$5:$R$342),"na")</f>
        <v/>
      </c>
      <c r="T269" s="8" t="inlineStr">
        <is>
          <t>Public</t>
        </is>
      </c>
      <c r="U269" s="8" t="inlineStr">
        <is>
          <t>Australia</t>
        </is>
      </c>
      <c r="V269" s="9" t="n">
        <v>2011</v>
      </c>
      <c r="W269" s="10" t="n">
        <v>204</v>
      </c>
      <c r="X269" s="11" t="n">
        <v>501.166</v>
      </c>
      <c r="Y269" s="8" t="inlineStr">
        <is>
          <t>Pacific</t>
        </is>
      </c>
      <c r="Z269" s="8" t="inlineStr">
        <is>
          <t>New South Wales (NSW)</t>
        </is>
      </c>
      <c r="AA269" s="11" t="n">
        <v>2932.57890903651</v>
      </c>
      <c r="AB269" s="8" t="inlineStr">
        <is>
          <t>Helia Group Ltd. engages in the provision of lenders mortgage insurance. It is also involved in the residential mortgage policy development with the lending institutions, local and international regulators and government and industry bodies. The company was founded on December 21, 2011, and is headquartered in North Sydney, Australia.</t>
        </is>
      </c>
      <c r="AC269" s="8" t="inlineStr">
        <is>
          <t>Property and Casualty Insurance</t>
        </is>
      </c>
      <c r="AD269" s="8" t="inlineStr">
        <is>
          <t>Insurance</t>
        </is>
      </c>
      <c r="AE269" s="8" t="inlineStr">
        <is>
          <t>Insurance</t>
        </is>
      </c>
      <c r="AF269" s="12" t="inlineStr">
        <is>
          <t>Personal Insurance</t>
        </is>
      </c>
      <c r="AR269" t="n">
        <v>0.462007</v>
      </c>
    </row>
    <row r="270" ht="15" customHeight="1">
      <c r="A270" s="8" t="inlineStr">
        <is>
          <t>MVF-AU</t>
        </is>
      </c>
      <c r="B270" s="8" t="inlineStr">
        <is>
          <t>Monash IVF Group Ltd.</t>
        </is>
      </c>
      <c r="C270" s="8" t="n"/>
      <c r="D270" s="8" t="n"/>
      <c r="E270" s="8" t="n"/>
      <c r="F270" s="8" t="n"/>
      <c r="G270" s="8" t="n"/>
      <c r="H270" s="8" t="n"/>
      <c r="I270" s="8" t="n"/>
      <c r="J270" s="8" t="n"/>
      <c r="K270" s="8" t="n"/>
      <c r="L270" s="8" t="n"/>
      <c r="M270" s="8" t="n"/>
      <c r="N270" s="17" t="n"/>
      <c r="O270" s="17" t="n"/>
      <c r="P270" s="17" t="n"/>
      <c r="Q270" s="17" t="n"/>
      <c r="R270" s="10">
        <f>IFERROR(_xlfn.XLOOKUP($A270,Profitability!$A$5:$A$342,Profitability!$Q$5:$Q$342),"na")</f>
        <v/>
      </c>
      <c r="S270" s="10">
        <f>IFERROR(_xlfn.XLOOKUP($A270,Profitability!$A$5:$A$342,Profitability!$R$5:$R$342),"na")</f>
        <v/>
      </c>
      <c r="T270" s="8" t="inlineStr">
        <is>
          <t>Public</t>
        </is>
      </c>
      <c r="U270" s="8" t="inlineStr">
        <is>
          <t>Australia</t>
        </is>
      </c>
      <c r="V270" s="9" t="n">
        <v>2014</v>
      </c>
      <c r="W270" s="10" t="n">
        <v>892</v>
      </c>
      <c r="X270" s="11" t="n">
        <v>271.917</v>
      </c>
      <c r="Y270" s="8" t="inlineStr">
        <is>
          <t>Pacific</t>
        </is>
      </c>
      <c r="Z270" s="8" t="inlineStr">
        <is>
          <t>Victoria (VIC)</t>
        </is>
      </c>
      <c r="AA270" s="11" t="n">
        <v>492.607012141047</v>
      </c>
      <c r="AB270" s="8" t="inlineStr">
        <is>
          <t>Monash IVF Group Ltd. engages in the field of fertility services. It operates through the Australia IVF and Ultrasound, and International IV segments. The Australia IVF and Ultrasound segment provides assisted reproductive services, ultrasound, and other related services. The International IV segment focuses on reproductive services in southeast Asia. The company was founded on April 30, 2014 and is headquartered in Cremorne, Australia.</t>
        </is>
      </c>
      <c r="AC270" s="8" t="inlineStr">
        <is>
          <t>Other Ambulatory and Outpatient Patient Care</t>
        </is>
      </c>
      <c r="AD270" s="8" t="inlineStr">
        <is>
          <t>Patient Care</t>
        </is>
      </c>
      <c r="AE270" s="8" t="inlineStr">
        <is>
          <t>Healthcare Services</t>
        </is>
      </c>
      <c r="AF270" s="12" t="inlineStr">
        <is>
          <t>Specialized Ambulatory and Outpatient Patient Care</t>
        </is>
      </c>
      <c r="AR270" t="n">
        <v>0.091969</v>
      </c>
    </row>
    <row r="271" ht="15" customHeight="1">
      <c r="A271" s="8" t="inlineStr">
        <is>
          <t>SIQ-AU</t>
        </is>
      </c>
      <c r="B271" s="8" t="inlineStr">
        <is>
          <t>Smartgroup Corp. Ltd.</t>
        </is>
      </c>
      <c r="C271" s="8" t="n"/>
      <c r="D271" s="8" t="n"/>
      <c r="E271" s="8" t="n"/>
      <c r="F271" s="8" t="n"/>
      <c r="G271" s="8" t="n"/>
      <c r="H271" s="8" t="n"/>
      <c r="I271" s="8" t="n"/>
      <c r="J271" s="8" t="n"/>
      <c r="K271" s="8" t="n"/>
      <c r="L271" s="8" t="n"/>
      <c r="M271" s="8" t="n"/>
      <c r="N271" s="17" t="n"/>
      <c r="O271" s="17" t="n"/>
      <c r="P271" s="17" t="n"/>
      <c r="Q271" s="17" t="n"/>
      <c r="R271" s="10">
        <f>IFERROR(_xlfn.XLOOKUP($A271,Profitability!$A$5:$A$342,Profitability!$Q$5:$Q$342),"na")</f>
        <v/>
      </c>
      <c r="S271" s="10">
        <f>IFERROR(_xlfn.XLOOKUP($A271,Profitability!$A$5:$A$342,Profitability!$R$5:$R$342),"na")</f>
        <v/>
      </c>
      <c r="T271" s="8" t="inlineStr">
        <is>
          <t>Public</t>
        </is>
      </c>
      <c r="U271" s="8" t="inlineStr">
        <is>
          <t>Australia</t>
        </is>
      </c>
      <c r="V271" s="9" t="n">
        <v>1999</v>
      </c>
      <c r="W271" s="10" t="n">
        <v>772</v>
      </c>
      <c r="X271" s="11" t="n">
        <v>305.842</v>
      </c>
      <c r="Y271" s="8" t="inlineStr">
        <is>
          <t>Pacific</t>
        </is>
      </c>
      <c r="Z271" s="8" t="inlineStr">
        <is>
          <t>New South Wales (NSW)</t>
        </is>
      </c>
      <c r="AA271" s="11" t="n">
        <v>653.356979734004</v>
      </c>
      <c r="AB271" s="8" t="inlineStr">
        <is>
          <t>Smartgroup Corp. Ltd. engages in the provision of employee benefits and workforce optimization services. It operates through the following segments: Outsourced Administration, Vehicle Services, and Software, Distribution and Group Services (SDGS). The Outsourced Administration segment includes salary packaging administration, leasing, and share plan administration. The Vehicle Services segment provides end-to-end fleet management services. The SDGS segment offers salary packaging software solutions, distribution of vehicle insurances, and information technology services. The company was founded in 1999 and is headquartered in Sydney, Australia.</t>
        </is>
      </c>
      <c r="AC271" s="8" t="inlineStr">
        <is>
          <t>Administrative Services</t>
        </is>
      </c>
      <c r="AD271" s="8" t="inlineStr">
        <is>
          <t>Other Professional Services</t>
        </is>
      </c>
      <c r="AE271" s="8" t="inlineStr">
        <is>
          <t>Business Services</t>
        </is>
      </c>
      <c r="AF271" s="12" t="inlineStr">
        <is>
          <t>Administrative Employment Services</t>
        </is>
      </c>
      <c r="AH271" t="n">
        <v>98</v>
      </c>
      <c r="AI271" t="n">
        <v>0.9</v>
      </c>
      <c r="AJ271" t="inlineStr">
        <is>
          <t>Standards Board (AASB).,,,
,Gross direct Scope 1 emissions (t CO2eq),97.62,
"This year, we have continued to deliver against",,,95%</t>
        </is>
      </c>
      <c r="AK271" t="n">
        <v>51</v>
      </c>
      <c r="AL271" t="n">
        <v>0.9</v>
      </c>
      <c r="AM271" t="inlineStr">
        <is>
          <t>,,,
"qualitative scenario analysis risk assessment,",Gross location-based energy indirect Scope 2 emissions (t CO2eq),50.91,
,,,e-waste recycling rate in our Sydney</t>
        </is>
      </c>
      <c r="AN271" t="n">
        <v>10815</v>
      </c>
      <c r="AO271" t="n">
        <v>0.9</v>
      </c>
      <c r="AP271" t="inlineStr">
        <is>
          <t>which included an analysis of our climate-related,,,
,Gross other indirect Scope 3 emissions (t CO2eq)1,"10,815.46",office – equates to a CO₂ reduction of
risks and opportunities for two distinct climate,,,</t>
        </is>
      </c>
      <c r="AQ271" t="n">
        <v>11</v>
      </c>
      <c r="AR271" t="n">
        <v>0.247183</v>
      </c>
      <c r="AS271" t="n">
        <v>0.035966</v>
      </c>
    </row>
    <row r="272" ht="15" customHeight="1">
      <c r="A272" s="8" t="inlineStr">
        <is>
          <t>ASH-AU</t>
        </is>
      </c>
      <c r="B272" s="8" t="inlineStr">
        <is>
          <t>Ashley Services Group Ltd.</t>
        </is>
      </c>
      <c r="C272" s="8" t="n"/>
      <c r="D272" s="8" t="n"/>
      <c r="E272" s="8" t="n"/>
      <c r="F272" s="8" t="n"/>
      <c r="G272" s="8" t="n"/>
      <c r="H272" s="8" t="n"/>
      <c r="I272" s="8" t="n"/>
      <c r="J272" s="8" t="n"/>
      <c r="K272" s="8" t="n"/>
      <c r="L272" s="8" t="n"/>
      <c r="M272" s="8" t="n"/>
      <c r="N272" s="17" t="n"/>
      <c r="O272" s="17" t="n"/>
      <c r="P272" s="17" t="n"/>
      <c r="Q272" s="17" t="n"/>
      <c r="R272" s="10">
        <f>IFERROR(_xlfn.XLOOKUP($A272,Profitability!$A$5:$A$342,Profitability!$Q$5:$Q$342),"na")</f>
        <v/>
      </c>
      <c r="S272" s="10">
        <f>IFERROR(_xlfn.XLOOKUP($A272,Profitability!$A$5:$A$342,Profitability!$R$5:$R$342),"na")</f>
        <v/>
      </c>
      <c r="T272" s="8" t="inlineStr">
        <is>
          <t>Public</t>
        </is>
      </c>
      <c r="U272" s="8" t="inlineStr">
        <is>
          <t>Australia</t>
        </is>
      </c>
      <c r="V272" s="9" t="n">
        <v>1968</v>
      </c>
      <c r="W272" s="10" t="inlineStr">
        <is>
          <t>-</t>
        </is>
      </c>
      <c r="X272" s="11" t="n">
        <v>515.943</v>
      </c>
      <c r="Y272" s="8" t="inlineStr">
        <is>
          <t>Pacific</t>
        </is>
      </c>
      <c r="Z272" s="8" t="inlineStr">
        <is>
          <t>New South Wales (NSW)</t>
        </is>
      </c>
      <c r="AA272" s="11" t="n">
        <v>86.5790021338711</v>
      </c>
      <c r="AB272" s="8" t="inlineStr">
        <is>
          <t>Ashley Services Group Ltd. engages in the provision of workforce solutions. It specializes in training, recruitment, and labor hire. It operates through the Labour Hire and Training segments. The company was founded by Ross Shrimpton in 1968 and is headquartered in Sydney, Australia.</t>
        </is>
      </c>
      <c r="AC272" s="8" t="inlineStr">
        <is>
          <t>Administrative Services</t>
        </is>
      </c>
      <c r="AD272" s="8" t="inlineStr">
        <is>
          <t>Other Professional Services</t>
        </is>
      </c>
      <c r="AE272" s="8" t="inlineStr">
        <is>
          <t>Business Services</t>
        </is>
      </c>
      <c r="AF272" s="12" t="inlineStr">
        <is>
          <t>Administrative Employment Services</t>
        </is>
      </c>
      <c r="AR272" t="n">
        <v>0.00421</v>
      </c>
    </row>
    <row r="273" ht="15" customHeight="1">
      <c r="A273" s="8" t="inlineStr">
        <is>
          <t>REG-AU</t>
        </is>
      </c>
      <c r="B273" s="8" t="inlineStr">
        <is>
          <t>Regis Healthcare Ltd.</t>
        </is>
      </c>
      <c r="C273" s="8" t="n"/>
      <c r="D273" s="8" t="n"/>
      <c r="E273" s="8" t="n"/>
      <c r="F273" s="8" t="n"/>
      <c r="G273" s="8" t="n"/>
      <c r="H273" s="8" t="n"/>
      <c r="I273" s="8" t="n"/>
      <c r="J273" s="8" t="n"/>
      <c r="K273" s="8" t="n"/>
      <c r="L273" s="8" t="n"/>
      <c r="M273" s="8" t="n"/>
      <c r="N273" s="17" t="n"/>
      <c r="O273" s="17" t="n"/>
      <c r="P273" s="17" t="n"/>
      <c r="Q273" s="17" t="n"/>
      <c r="R273" s="10">
        <f>IFERROR(_xlfn.XLOOKUP($A273,Profitability!$A$5:$A$342,Profitability!$Q$5:$Q$342),"na")</f>
        <v/>
      </c>
      <c r="S273" s="10">
        <f>IFERROR(_xlfn.XLOOKUP($A273,Profitability!$A$5:$A$342,Profitability!$R$5:$R$342),"na")</f>
        <v/>
      </c>
      <c r="T273" s="8" t="inlineStr">
        <is>
          <t>Public</t>
        </is>
      </c>
      <c r="U273" s="8" t="inlineStr">
        <is>
          <t>Australia</t>
        </is>
      </c>
      <c r="V273" s="9" t="n">
        <v>2007</v>
      </c>
      <c r="W273" s="10" t="n">
        <v>12000</v>
      </c>
      <c r="X273" s="11" t="n">
        <v>1152.791</v>
      </c>
      <c r="Y273" s="8" t="inlineStr">
        <is>
          <t>Pacific</t>
        </is>
      </c>
      <c r="Z273" s="8" t="inlineStr">
        <is>
          <t>Victoria (VIC)</t>
        </is>
      </c>
      <c r="AA273" s="11" t="n">
        <v>2105.29805188827</v>
      </c>
      <c r="AB273" s="8" t="inlineStr">
        <is>
          <t>Regis Healthcare Ltd. engages in the provision of residential aged care services. It offers aged care facilities, retirement villages, home care, day therapy, and day respite programs. The company was founded by Bryan Anthony Dorman and Ian Roberts in 1994 and is headquartered in Melbourne, Australia.</t>
        </is>
      </c>
      <c r="AC273" s="8" t="inlineStr">
        <is>
          <t>Long-Term Care Facilities</t>
        </is>
      </c>
      <c r="AD273" s="8" t="inlineStr">
        <is>
          <t>Patient Care</t>
        </is>
      </c>
      <c r="AE273" s="8" t="inlineStr">
        <is>
          <t>Healthcare Services</t>
        </is>
      </c>
      <c r="AF273" s="12" t="inlineStr">
        <is>
          <t>Other Long-Term Care Facilities</t>
        </is>
      </c>
      <c r="AH273" t="n">
        <v>5587</v>
      </c>
      <c r="AI273" t="n">
        <v>0.9</v>
      </c>
      <c r="AJ273" t="inlineStr">
        <is>
          <t>Scope 1 5,587.24</t>
        </is>
      </c>
      <c r="AK273" t="n">
        <v>31756</v>
      </c>
      <c r="AL273" t="n">
        <v>0.9</v>
      </c>
      <c r="AM273" t="inlineStr">
        <is>
          <t>Scope 2 31,756.18</t>
        </is>
      </c>
      <c r="AN273" t="n">
        <v>0</v>
      </c>
      <c r="AQ273" t="n">
        <v>0</v>
      </c>
      <c r="AR273" t="n">
        <v>0.042463</v>
      </c>
      <c r="AS273" t="n">
        <v>0</v>
      </c>
    </row>
    <row r="274" ht="15" customHeight="1">
      <c r="A274" s="8" t="inlineStr">
        <is>
          <t>IPH-AU</t>
        </is>
      </c>
      <c r="B274" s="8" t="inlineStr">
        <is>
          <t>IPH Ltd.</t>
        </is>
      </c>
      <c r="C274" s="8" t="n"/>
      <c r="D274" s="8" t="n"/>
      <c r="E274" s="8" t="n"/>
      <c r="F274" s="8" t="n"/>
      <c r="G274" s="8" t="n"/>
      <c r="H274" s="8" t="n"/>
      <c r="I274" s="8" t="n"/>
      <c r="J274" s="8" t="n"/>
      <c r="K274" s="8" t="n"/>
      <c r="L274" s="8" t="n"/>
      <c r="M274" s="8" t="n"/>
      <c r="N274" s="17" t="n"/>
      <c r="O274" s="17" t="n"/>
      <c r="P274" s="17" t="n"/>
      <c r="Q274" s="17" t="n"/>
      <c r="R274" s="10">
        <f>IFERROR(_xlfn.XLOOKUP($A274,Profitability!$A$5:$A$342,Profitability!$Q$5:$Q$342),"na")</f>
        <v/>
      </c>
      <c r="S274" s="10">
        <f>IFERROR(_xlfn.XLOOKUP($A274,Profitability!$A$5:$A$342,Profitability!$R$5:$R$342),"na")</f>
        <v/>
      </c>
      <c r="T274" s="8" t="inlineStr">
        <is>
          <t>Public</t>
        </is>
      </c>
      <c r="U274" s="8" t="inlineStr">
        <is>
          <t>Australia</t>
        </is>
      </c>
      <c r="V274" s="9" t="n">
        <v>2014</v>
      </c>
      <c r="W274" s="10" t="n">
        <v>1900</v>
      </c>
      <c r="X274" s="11" t="n">
        <v>706.2</v>
      </c>
      <c r="Y274" s="8" t="inlineStr">
        <is>
          <t>Pacific</t>
        </is>
      </c>
      <c r="Z274" s="8" t="inlineStr">
        <is>
          <t>New South Wales (NSW)</t>
        </is>
      </c>
      <c r="AA274" s="11" t="n">
        <v>1350.50003328512</v>
      </c>
      <c r="AB274" s="8" t="inlineStr">
        <is>
          <t>IPH Ltd. is a holding company, which engages in the provision of intellectual property (IP) services. It operates through the following segments: Intellectual Property Services Australia Services and New Zealand, Intellectual Property Services Asia, Intellectual Property Services Canada, Adjacent Businesses, and Corporate. The Intellectual Property Services Australia Services and New Zealand segment provides filing, prosecution, enforcement, and management of patents, designs, trademarks, and other IP in Australia and New Zealand. The Intellectual Property Services Asia segment includes filing, prosecution, enforcement and management of patents, designs, trademarks, and other IP in Asia. Intellectual Property Services Canada segment deals with the filing, prosecution, enforcement, and management of patents, designs, trademarks and other IP in Canada. The Adjacent Businesses segment relates to Wisetime the autonomous time-keeping tool and glasshouse advisory. The company was founded on April 9, 2014 and is headquartered in Sydney, Australia.</t>
        </is>
      </c>
      <c r="AC274" s="8" t="inlineStr">
        <is>
          <t>Consulting/Business Process Outsourcing Services</t>
        </is>
      </c>
      <c r="AD274" s="8" t="inlineStr">
        <is>
          <t>Other Professional Services</t>
        </is>
      </c>
      <c r="AE274" s="8" t="inlineStr">
        <is>
          <t>Business Services</t>
        </is>
      </c>
      <c r="AF274" s="12" t="inlineStr">
        <is>
          <t>Other Consulting and Business Process Outsourcing</t>
        </is>
      </c>
      <c r="AH274" t="n">
        <v>0</v>
      </c>
      <c r="AI274" t="n">
        <v>1</v>
      </c>
      <c r="AJ274" t="inlineStr">
        <is>
          <t>"operations over which it, including its subsidiaries,",
,"9,284"
"has operational control, as Scope 1 emissions;",</t>
        </is>
      </c>
      <c r="AK274" t="n">
        <v>572</v>
      </c>
      <c r="AL274" t="n">
        <v>1</v>
      </c>
      <c r="AM274" t="inlineStr">
        <is>
          <t>"has operational control, as Scope 1 emissions;",
,"6,806"
— refined the methodology and conversion factors used,</t>
        </is>
      </c>
      <c r="AN274" t="n">
        <v>11103</v>
      </c>
      <c r="AO274" t="n">
        <v>1</v>
      </c>
      <c r="AP274">
        <f>== Table 1 (page 30) ===
Impact and innovation,Gross emissions have been estimated using a standardised</f>
        <v/>
      </c>
      <c r="AQ274" t="n">
        <v>1</v>
      </c>
      <c r="AR274" t="n">
        <v>0.097423</v>
      </c>
      <c r="AS274" t="n">
        <v>0.001416</v>
      </c>
    </row>
    <row r="275" ht="15" customHeight="1">
      <c r="A275" s="8" t="inlineStr">
        <is>
          <t>SIO-AU</t>
        </is>
      </c>
      <c r="B275" s="8" t="inlineStr">
        <is>
          <t>Simonds Group Ltd.</t>
        </is>
      </c>
      <c r="C275" s="8" t="n"/>
      <c r="D275" s="8" t="n"/>
      <c r="E275" s="8" t="n"/>
      <c r="F275" s="8" t="n"/>
      <c r="G275" s="8" t="n"/>
      <c r="H275" s="8" t="n"/>
      <c r="I275" s="8" t="n"/>
      <c r="J275" s="8" t="n"/>
      <c r="K275" s="8" t="n"/>
      <c r="L275" s="8" t="n"/>
      <c r="M275" s="8" t="n"/>
      <c r="N275" s="17" t="n"/>
      <c r="O275" s="17" t="n"/>
      <c r="P275" s="17" t="n"/>
      <c r="Q275" s="17" t="n"/>
      <c r="R275" s="10">
        <f>IFERROR(_xlfn.XLOOKUP($A275,Profitability!$A$5:$A$342,Profitability!$Q$5:$Q$342),"na")</f>
        <v/>
      </c>
      <c r="S275" s="10">
        <f>IFERROR(_xlfn.XLOOKUP($A275,Profitability!$A$5:$A$342,Profitability!$R$5:$R$342),"na")</f>
        <v/>
      </c>
      <c r="T275" s="8" t="inlineStr">
        <is>
          <t>Public</t>
        </is>
      </c>
      <c r="U275" s="8" t="inlineStr">
        <is>
          <t>Australia</t>
        </is>
      </c>
      <c r="V275" s="9" t="n">
        <v>2010</v>
      </c>
      <c r="W275" s="10" t="inlineStr">
        <is>
          <t>-</t>
        </is>
      </c>
      <c r="X275" s="11" t="n">
        <v>665.6369999999999</v>
      </c>
      <c r="Y275" s="8" t="inlineStr">
        <is>
          <t>Pacific</t>
        </is>
      </c>
      <c r="Z275" s="8" t="inlineStr">
        <is>
          <t>Victoria (VIC)</t>
        </is>
      </c>
      <c r="AA275" s="11" t="n">
        <v>186.222004589724</v>
      </c>
      <c r="AB275" s="8" t="inlineStr">
        <is>
          <t>Simonds Group Ltd. engages in designing and construction of residential dwellings, development of residential land and providing registered training courses. It operates through three segments: Residential Construction, Registered Training and Land Development. The Residential Construction segment includes contracts for residential home construction, speculative home building and building of display home inventory. The Registered Training segment includes activities relating to registered training provided by House of Learning Pty Ltd trading as Building Academy Australia. The Land Development segment engages in land development, project management services and sales. The company was founded by Gary Simonds in 1949 and is headquartered in Melbourne, Australia.</t>
        </is>
      </c>
      <c r="AC275" s="8" t="inlineStr">
        <is>
          <t>Home Builders</t>
        </is>
      </c>
      <c r="AD275" s="8" t="inlineStr">
        <is>
          <t>Home Builders and Manufactured Buildings</t>
        </is>
      </c>
      <c r="AE275" s="8" t="inlineStr">
        <is>
          <t>Miscellaneous Retail</t>
        </is>
      </c>
      <c r="AF275" s="12" t="inlineStr">
        <is>
          <t>Home Builders</t>
        </is>
      </c>
      <c r="AR275" t="n">
        <v>0.002102</v>
      </c>
    </row>
    <row r="276" ht="15" customHeight="1">
      <c r="A276" s="8" t="inlineStr">
        <is>
          <t>COF-AU</t>
        </is>
      </c>
      <c r="B276" s="8" t="inlineStr">
        <is>
          <t>Centuria Office REIT</t>
        </is>
      </c>
      <c r="C276" s="8" t="n"/>
      <c r="D276" s="8" t="n"/>
      <c r="E276" s="8" t="n"/>
      <c r="F276" s="8" t="n"/>
      <c r="G276" s="8" t="n"/>
      <c r="H276" s="8" t="n"/>
      <c r="I276" s="8" t="n"/>
      <c r="J276" s="8" t="n"/>
      <c r="K276" s="8" t="n"/>
      <c r="L276" s="8" t="n"/>
      <c r="M276" s="8" t="n"/>
      <c r="N276" s="17" t="n"/>
      <c r="O276" s="17" t="n"/>
      <c r="P276" s="17" t="n"/>
      <c r="Q276" s="17" t="n"/>
      <c r="R276" s="10">
        <f>IFERROR(_xlfn.XLOOKUP($A276,Profitability!$A$5:$A$342,Profitability!$Q$5:$Q$342),"na")</f>
        <v/>
      </c>
      <c r="S276" s="10">
        <f>IFERROR(_xlfn.XLOOKUP($A276,Profitability!$A$5:$A$342,Profitability!$R$5:$R$342),"na")</f>
        <v/>
      </c>
      <c r="T276" s="8" t="inlineStr">
        <is>
          <t>Public</t>
        </is>
      </c>
      <c r="U276" s="8" t="inlineStr">
        <is>
          <t>Australia</t>
        </is>
      </c>
      <c r="V276" s="9" t="n">
        <v>2007</v>
      </c>
      <c r="W276" s="10" t="inlineStr">
        <is>
          <t>-</t>
        </is>
      </c>
      <c r="X276" s="11" t="n">
        <v>154.301999999999</v>
      </c>
      <c r="Y276" s="8" t="inlineStr">
        <is>
          <t>Pacific</t>
        </is>
      </c>
      <c r="Z276" s="8" t="inlineStr">
        <is>
          <t>New South Wales (NSW)</t>
        </is>
      </c>
      <c r="AA276" s="11" t="n">
        <v>1950.86104808193</v>
      </c>
      <c r="AB276" s="8" t="inlineStr">
        <is>
          <t>Centuria Office REIT engages in the investment in office and industrial assets in metropolitan markets of Australia. The company was founded in 2005 and is headquartered in Sydney, Australia.</t>
        </is>
      </c>
      <c r="AC276" s="8" t="inlineStr">
        <is>
          <t>Equity REITs</t>
        </is>
      </c>
      <c r="AD276" s="8" t="inlineStr">
        <is>
          <t>Real Estate Investment Trusts (REITs)</t>
        </is>
      </c>
      <c r="AE276" s="8" t="inlineStr">
        <is>
          <t>Real Estate</t>
        </is>
      </c>
      <c r="AF276" s="12" t="inlineStr">
        <is>
          <t>Equity REITs</t>
        </is>
      </c>
      <c r="AR276" t="n">
        <v>-0.12819</v>
      </c>
    </row>
    <row r="277" ht="15" customHeight="1">
      <c r="A277" s="8" t="inlineStr">
        <is>
          <t>LOV-AU</t>
        </is>
      </c>
      <c r="B277" s="8" t="inlineStr">
        <is>
          <t>Lovisa Holdings Ltd.</t>
        </is>
      </c>
      <c r="C277" s="8" t="n"/>
      <c r="D277" s="8" t="n"/>
      <c r="E277" s="8" t="n"/>
      <c r="F277" s="8" t="n"/>
      <c r="G277" s="8" t="n"/>
      <c r="H277" s="8" t="n"/>
      <c r="I277" s="8" t="n"/>
      <c r="J277" s="8" t="n"/>
      <c r="K277" s="8" t="n"/>
      <c r="L277" s="8" t="n"/>
      <c r="M277" s="8" t="n"/>
      <c r="N277" s="17" t="n"/>
      <c r="O277" s="17" t="n"/>
      <c r="P277" s="17" t="n"/>
      <c r="Q277" s="17" t="n"/>
      <c r="R277" s="10">
        <f>IFERROR(_xlfn.XLOOKUP($A277,Profitability!$A$5:$A$342,Profitability!$Q$5:$Q$342),"na")</f>
        <v/>
      </c>
      <c r="S277" s="10">
        <f>IFERROR(_xlfn.XLOOKUP($A277,Profitability!$A$5:$A$342,Profitability!$R$5:$R$342),"na")</f>
        <v/>
      </c>
      <c r="T277" s="8" t="inlineStr">
        <is>
          <t>Public</t>
        </is>
      </c>
      <c r="U277" s="8" t="inlineStr">
        <is>
          <t>Australia</t>
        </is>
      </c>
      <c r="V277" s="9" t="n">
        <v>2014</v>
      </c>
      <c r="W277" s="10" t="inlineStr">
        <is>
          <t>-</t>
        </is>
      </c>
      <c r="X277" s="11" t="n">
        <v>798.16957888621</v>
      </c>
      <c r="Y277" s="8" t="inlineStr">
        <is>
          <t>Pacific</t>
        </is>
      </c>
      <c r="Z277" s="8" t="inlineStr">
        <is>
          <t>Victoria (VIC)</t>
        </is>
      </c>
      <c r="AA277" s="11" t="n">
        <v>701.161271187436</v>
      </c>
      <c r="AB277" s="8" t="inlineStr">
        <is>
          <t>Lovisa Holdings Ltd. engages in the retail sale of fashion jewelry and accessories. It operates through the following geographical segments: Australia and New Zealand, Asia, Africa, America, and Europe. The company was founded by Shane Fallscheer and Brett Blundy in April 2010 and is headquartered in Hawthorn, Australia.</t>
        </is>
      </c>
      <c r="AC277" s="8" t="inlineStr">
        <is>
          <t>Accessories Retail</t>
        </is>
      </c>
      <c r="AD277" s="8" t="inlineStr">
        <is>
          <t>Apparel and Accessories Retail</t>
        </is>
      </c>
      <c r="AE277" s="8" t="inlineStr">
        <is>
          <t>Consumer Retail</t>
        </is>
      </c>
      <c r="AF277" s="12" t="inlineStr">
        <is>
          <t>Jewelry Stores</t>
        </is>
      </c>
      <c r="AR277" t="n">
        <v>0.108167</v>
      </c>
    </row>
    <row r="278" ht="15" customHeight="1">
      <c r="A278" s="8" t="inlineStr">
        <is>
          <t>FPR-AU</t>
        </is>
      </c>
      <c r="B278" s="8" t="inlineStr">
        <is>
          <t>FleetPartners Group Ltd.</t>
        </is>
      </c>
      <c r="C278" s="8" t="n"/>
      <c r="D278" s="8" t="n"/>
      <c r="E278" s="8" t="n"/>
      <c r="F278" s="8" t="n"/>
      <c r="G278" s="8" t="n"/>
      <c r="H278" s="8" t="n"/>
      <c r="I278" s="8" t="n"/>
      <c r="J278" s="8" t="n"/>
      <c r="K278" s="8" t="n"/>
      <c r="L278" s="8" t="n"/>
      <c r="M278" s="8" t="n"/>
      <c r="N278" s="17" t="n"/>
      <c r="O278" s="17" t="n"/>
      <c r="P278" s="17" t="n"/>
      <c r="Q278" s="17" t="n"/>
      <c r="R278" s="10">
        <f>IFERROR(_xlfn.XLOOKUP($A278,Profitability!$A$5:$A$342,Profitability!$Q$5:$Q$342),"na")</f>
        <v/>
      </c>
      <c r="S278" s="10">
        <f>IFERROR(_xlfn.XLOOKUP($A278,Profitability!$A$5:$A$342,Profitability!$R$5:$R$342),"na")</f>
        <v/>
      </c>
      <c r="T278" s="8" t="inlineStr">
        <is>
          <t>Public</t>
        </is>
      </c>
      <c r="U278" s="8" t="inlineStr">
        <is>
          <t>Australia</t>
        </is>
      </c>
      <c r="V278" s="9" t="n">
        <v>2008</v>
      </c>
      <c r="W278" s="10" t="inlineStr">
        <is>
          <t>-</t>
        </is>
      </c>
      <c r="X278" s="11" t="n">
        <v>761.631999999999</v>
      </c>
      <c r="Y278" s="8" t="inlineStr">
        <is>
          <t>Pacific</t>
        </is>
      </c>
      <c r="Z278" s="8" t="inlineStr">
        <is>
          <t>New South Wales (NSW)</t>
        </is>
      </c>
      <c r="AA278" s="11" t="n">
        <v>2530.58304336491</v>
      </c>
      <c r="AB278" s="8" t="inlineStr">
        <is>
          <t>FleetPartners Group Ltd. engages in the provision of vehicle fleet leasing, fleet management and diversified financial services. It operates through following four segments: Australian Commercial, Novated, and New Zealand Commercial. The Australian commercial segment provides vehicle fleet leasing and management business and commercial equipment finance and leasing. The Novated segment specializes in novated leasing and salary packaging. The New Zealand Commercial segment specialises in fleet leasing and management and operates under the trading names of fleetPlus and fleetPartners. The company was founded in 1987 and is headquartered in Sydney, Australia.</t>
        </is>
      </c>
      <c r="AC278" s="8" t="inlineStr">
        <is>
          <t>Commercial Finance Services</t>
        </is>
      </c>
      <c r="AD278" s="8" t="inlineStr">
        <is>
          <t>Specialty Finance</t>
        </is>
      </c>
      <c r="AE278" s="8" t="inlineStr">
        <is>
          <t>Specialty Finance and Services</t>
        </is>
      </c>
      <c r="AF278" s="12" t="inlineStr">
        <is>
          <t>Leasing Services</t>
        </is>
      </c>
      <c r="AR278" t="n">
        <v>0.10225</v>
      </c>
    </row>
    <row r="279" ht="15" customHeight="1">
      <c r="A279" s="8" t="inlineStr">
        <is>
          <t>SLC-AU</t>
        </is>
      </c>
      <c r="B279" s="8" t="inlineStr">
        <is>
          <t>Superloop Ltd.</t>
        </is>
      </c>
      <c r="C279" s="8" t="n"/>
      <c r="D279" s="8" t="n"/>
      <c r="E279" s="8" t="n"/>
      <c r="F279" s="8" t="n"/>
      <c r="G279" s="8" t="n"/>
      <c r="H279" s="8" t="n"/>
      <c r="I279" s="8" t="n"/>
      <c r="J279" s="8" t="n"/>
      <c r="K279" s="8" t="n"/>
      <c r="L279" s="8" t="n"/>
      <c r="M279" s="8" t="n"/>
      <c r="N279" s="17" t="n"/>
      <c r="O279" s="17" t="n"/>
      <c r="P279" s="17" t="n"/>
      <c r="Q279" s="17" t="n"/>
      <c r="R279" s="10">
        <f>IFERROR(_xlfn.XLOOKUP($A279,Profitability!$A$5:$A$342,Profitability!$Q$5:$Q$342),"na")</f>
        <v/>
      </c>
      <c r="S279" s="10">
        <f>IFERROR(_xlfn.XLOOKUP($A279,Profitability!$A$5:$A$342,Profitability!$R$5:$R$342),"na")</f>
        <v/>
      </c>
      <c r="T279" s="8" t="inlineStr">
        <is>
          <t>Public</t>
        </is>
      </c>
      <c r="U279" s="8" t="inlineStr">
        <is>
          <t>Australia</t>
        </is>
      </c>
      <c r="V279" s="9" t="n">
        <v>2014</v>
      </c>
      <c r="W279" s="10" t="inlineStr">
        <is>
          <t>-</t>
        </is>
      </c>
      <c r="X279" s="11" t="n">
        <v>546.463999999999</v>
      </c>
      <c r="Y279" s="8" t="inlineStr">
        <is>
          <t>Pacific</t>
        </is>
      </c>
      <c r="Z279" s="8" t="inlineStr">
        <is>
          <t>New South Wales (NSW)</t>
        </is>
      </c>
      <c r="AA279" s="11" t="n">
        <v>608.709015002558</v>
      </c>
      <c r="AB279" s="8" t="inlineStr">
        <is>
          <t>Superloop Ltd. engages in the provision of connectivity services in the Asia Pacific region. The firm operates through the following segments: Connectivity, Services, and Broadband. The Connectivity segment includes the development and operation of independent connectivity infrastructure and services throughout the Asia Pacific region for wholesale and enterprise customers including fibre optic cable, international submarine cables and fixed wireless networks. The Services segment includes the provision of outsourced cloud and managed services, cyber security and cyber safety. The Broadband segment includes the provision of broadband services for individual end users including residential NBN, retail fixed wireless and fixed line internet services and connectivity services for hotels, student accommodation sites and schools. The company was founded by Bevan Andrew Slattery on April 28, 2014 and is headquartered in Brisbane, Australia.</t>
        </is>
      </c>
      <c r="AC279" s="8" t="inlineStr">
        <is>
          <t>Telecommunications Carrier Services</t>
        </is>
      </c>
      <c r="AD279" s="8" t="inlineStr">
        <is>
          <t>General Telecommunications Services</t>
        </is>
      </c>
      <c r="AE279" s="8" t="inlineStr">
        <is>
          <t>Telecommunications</t>
        </is>
      </c>
      <c r="AF279" s="12" t="inlineStr">
        <is>
          <t>Telecommunications Carrier Services</t>
        </is>
      </c>
      <c r="AH279" t="n">
        <v>54</v>
      </c>
      <c r="AJ279" t="inlineStr">
        <is>
          <t>FY25 GHG emissions based on baseline assessment [24-26].</t>
        </is>
      </c>
      <c r="AK279" t="n">
        <v>6851</v>
      </c>
      <c r="AM279" t="inlineStr">
        <is>
          <t>FY25 GHG emissions based on baseline assessment [24-26].</t>
        </is>
      </c>
      <c r="AN279" t="n">
        <v>94411</v>
      </c>
      <c r="AP279" t="inlineStr">
        <is>
          <t>FY25 GHG emissions based on baseline assessment [24-26].</t>
        </is>
      </c>
      <c r="AR279" t="n">
        <v>0.002211</v>
      </c>
    </row>
    <row r="280" ht="15" customHeight="1">
      <c r="A280" s="8" t="inlineStr">
        <is>
          <t>TPW-AU</t>
        </is>
      </c>
      <c r="B280" s="8" t="inlineStr">
        <is>
          <t>Temple &amp; Webster Group Ltd.</t>
        </is>
      </c>
      <c r="C280" s="8" t="n"/>
      <c r="D280" s="8" t="n"/>
      <c r="E280" s="8" t="n"/>
      <c r="F280" s="8" t="n"/>
      <c r="G280" s="8" t="n"/>
      <c r="H280" s="8" t="n"/>
      <c r="I280" s="8" t="n"/>
      <c r="J280" s="8" t="n"/>
      <c r="K280" s="8" t="n"/>
      <c r="L280" s="8" t="n"/>
      <c r="M280" s="8" t="n"/>
      <c r="N280" s="17" t="n"/>
      <c r="O280" s="17" t="n"/>
      <c r="P280" s="17" t="n"/>
      <c r="Q280" s="17" t="n"/>
      <c r="R280" s="10">
        <f>IFERROR(_xlfn.XLOOKUP($A280,Profitability!$A$5:$A$342,Profitability!$Q$5:$Q$342),"na")</f>
        <v/>
      </c>
      <c r="S280" s="10">
        <f>IFERROR(_xlfn.XLOOKUP($A280,Profitability!$A$5:$A$342,Profitability!$R$5:$R$342),"na")</f>
        <v/>
      </c>
      <c r="T280" s="8" t="inlineStr">
        <is>
          <t>Public</t>
        </is>
      </c>
      <c r="U280" s="8" t="inlineStr">
        <is>
          <t>Australia</t>
        </is>
      </c>
      <c r="V280" s="9" t="n">
        <v>2011</v>
      </c>
      <c r="W280" s="10" t="inlineStr">
        <is>
          <t>-</t>
        </is>
      </c>
      <c r="X280" s="11" t="n">
        <v>600.718999999999</v>
      </c>
      <c r="Y280" s="8" t="inlineStr">
        <is>
          <t>Pacific</t>
        </is>
      </c>
      <c r="Z280" s="8" t="inlineStr">
        <is>
          <t>New South Wales (NSW)</t>
        </is>
      </c>
      <c r="AA280" s="11" t="n">
        <v>277.510006839656</v>
      </c>
      <c r="AB280" s="8" t="inlineStr">
        <is>
          <t>Temple &amp; Webster Group Ltd. operates as an online retailer of furniture and homewares. It provides furniture, homewares, home décor, arts, gifts, and lifestyle products from Australian and international designers. The firm operates through two brands: Temple &amp; Webster, and Milan Direct. The company was founded by Mark Coulter, Brian Shanahan, Conrad Yiu and Adam McWhinney in July 2011 and is headquartered in St. Peters, Australia.</t>
        </is>
      </c>
      <c r="AC280" s="8" t="inlineStr">
        <is>
          <t>Furniture and Home Furnishings Stores</t>
        </is>
      </c>
      <c r="AD280" s="8" t="inlineStr">
        <is>
          <t>Home Improvement Retail</t>
        </is>
      </c>
      <c r="AE280" s="8" t="inlineStr">
        <is>
          <t>Consumer Retail</t>
        </is>
      </c>
      <c r="AF280" s="12" t="inlineStr">
        <is>
          <t>Internet Furniture and Home Furnishings Retail</t>
        </is>
      </c>
      <c r="AH280" t="n">
        <v>0</v>
      </c>
      <c r="AJ280" t="inlineStr">
        <is>
          <t>FY25 gross emissions figures [27]. Scope 3 excludes product manufacturing, use of sold products, end-of-life treatment of sold products, and investments due to limitations [27].</t>
        </is>
      </c>
      <c r="AK280" t="n">
        <v>19</v>
      </c>
      <c r="AM280" t="inlineStr">
        <is>
          <t>FY25 gross emissions figures [27]. Scope 3 excludes product manufacturing, use of sold products, end-of-life treatment of sold products, and investments due to limitations [27].</t>
        </is>
      </c>
      <c r="AN280" t="n">
        <v>28309</v>
      </c>
      <c r="AP280" t="inlineStr">
        <is>
          <t>FY25 gross emissions figures [27]. Scope 3 excludes product manufacturing, use of sold products, end-of-life treatment of sold products, and investments due to limitations [27].</t>
        </is>
      </c>
      <c r="AR280" t="n">
        <v>0.018814</v>
      </c>
    </row>
    <row r="281" ht="15" customHeight="1">
      <c r="A281" s="8" t="inlineStr">
        <is>
          <t>ZIP-AU</t>
        </is>
      </c>
      <c r="B281" s="8" t="inlineStr">
        <is>
          <t>Zip Co. Ltd.</t>
        </is>
      </c>
      <c r="C281" s="8" t="n"/>
      <c r="D281" s="8" t="n"/>
      <c r="E281" s="8" t="n"/>
      <c r="F281" s="8" t="n"/>
      <c r="G281" s="8" t="n"/>
      <c r="H281" s="8" t="n"/>
      <c r="I281" s="8" t="n"/>
      <c r="J281" s="8" t="n"/>
      <c r="K281" s="8" t="n"/>
      <c r="L281" s="8" t="n"/>
      <c r="M281" s="8" t="n"/>
      <c r="N281" s="17" t="n"/>
      <c r="O281" s="17" t="n"/>
      <c r="P281" s="17" t="n"/>
      <c r="Q281" s="17" t="n"/>
      <c r="R281" s="10">
        <f>IFERROR(_xlfn.XLOOKUP($A281,Profitability!$A$5:$A$342,Profitability!$Q$5:$Q$342),"na")</f>
        <v/>
      </c>
      <c r="S281" s="10">
        <f>IFERROR(_xlfn.XLOOKUP($A281,Profitability!$A$5:$A$342,Profitability!$R$5:$R$342),"na")</f>
        <v/>
      </c>
      <c r="T281" s="8" t="inlineStr">
        <is>
          <t>Public</t>
        </is>
      </c>
      <c r="U281" s="8" t="inlineStr">
        <is>
          <t>Australia</t>
        </is>
      </c>
      <c r="V281" s="9" t="n">
        <v>2009</v>
      </c>
      <c r="W281" s="10" t="n">
        <v>985</v>
      </c>
      <c r="X281" s="11" t="n">
        <v>1081.09199999999</v>
      </c>
      <c r="Y281" s="8" t="inlineStr">
        <is>
          <t>Pacific</t>
        </is>
      </c>
      <c r="Z281" s="8" t="inlineStr">
        <is>
          <t>New South Wales (NSW)</t>
        </is>
      </c>
      <c r="AA281" s="11" t="n">
        <v>3504.66808637786</v>
      </c>
      <c r="AB281" s="8" t="inlineStr">
        <is>
          <t>Zip Co. Ltd. is a digital financial services company, which engages in the offering of point-of-sale credit and payment services. It operates through the following segments: ANZ, USA, and Corporate and Other. The ANZ segment offers retail line of credit products and personal loans to consumers in Australia and retail installment products to consumers in New Zealand. The USA segment focuses on Buy Now Pay Later instalment products to customers in the USA. The company was founded by Larry Diamond and Gray Peter on September 18, 2009 and is headquartered in Sydney, Australia.</t>
        </is>
      </c>
      <c r="AC281" s="8" t="inlineStr">
        <is>
          <t>Consumer Finance Services</t>
        </is>
      </c>
      <c r="AD281" s="8" t="inlineStr">
        <is>
          <t>Specialty Finance</t>
        </is>
      </c>
      <c r="AE281" s="8" t="inlineStr">
        <is>
          <t>Specialty Finance and Services</t>
        </is>
      </c>
      <c r="AF281" s="12" t="inlineStr">
        <is>
          <t>Electronic Transaction Processing/Clearinghouses</t>
        </is>
      </c>
      <c r="AH281" t="n">
        <v>2199</v>
      </c>
      <c r="AJ281" t="inlineStr">
        <is>
          <t>Emissions data for the 2024 calendar year [33, 34].</t>
        </is>
      </c>
      <c r="AK281" t="n">
        <v>661</v>
      </c>
      <c r="AM281" t="inlineStr">
        <is>
          <t>Emissions data for the 2024 calendar year [33, 34].</t>
        </is>
      </c>
      <c r="AN281" t="n">
        <v>268853</v>
      </c>
      <c r="AP281" t="inlineStr">
        <is>
          <t>Emissions data for the 2024 calendar year [33, 34].</t>
        </is>
      </c>
      <c r="AR281" t="n">
        <v>0.073902</v>
      </c>
    </row>
    <row r="282" ht="15" customHeight="1">
      <c r="A282" s="8" t="inlineStr">
        <is>
          <t>BBN-AU</t>
        </is>
      </c>
      <c r="B282" s="8" t="inlineStr">
        <is>
          <t>Baby Bunting Group Ltd.</t>
        </is>
      </c>
      <c r="C282" s="8" t="n"/>
      <c r="D282" s="8" t="n"/>
      <c r="E282" s="8" t="n"/>
      <c r="F282" s="8" t="n"/>
      <c r="G282" s="8" t="n"/>
      <c r="H282" s="8" t="n"/>
      <c r="I282" s="8" t="n"/>
      <c r="J282" s="8" t="n"/>
      <c r="K282" s="8" t="n"/>
      <c r="L282" s="8" t="n"/>
      <c r="M282" s="8" t="n"/>
      <c r="N282" s="17" t="n"/>
      <c r="O282" s="17" t="n"/>
      <c r="P282" s="17" t="n"/>
      <c r="Q282" s="17" t="n"/>
      <c r="R282" s="10">
        <f>IFERROR(_xlfn.XLOOKUP($A282,Profitability!$A$5:$A$342,Profitability!$Q$5:$Q$342),"na")</f>
        <v/>
      </c>
      <c r="S282" s="10">
        <f>IFERROR(_xlfn.XLOOKUP($A282,Profitability!$A$5:$A$342,Profitability!$R$5:$R$342),"na")</f>
        <v/>
      </c>
      <c r="T282" s="8" t="inlineStr">
        <is>
          <t>Public</t>
        </is>
      </c>
      <c r="U282" s="8" t="inlineStr">
        <is>
          <t>Australia</t>
        </is>
      </c>
      <c r="V282" s="9" t="n">
        <v>2007</v>
      </c>
      <c r="W282" s="10" t="n">
        <v>1560</v>
      </c>
      <c r="X282" s="11" t="n">
        <v>521.958920575861</v>
      </c>
      <c r="Y282" s="8" t="inlineStr">
        <is>
          <t>Pacific</t>
        </is>
      </c>
      <c r="Z282" s="8" t="inlineStr">
        <is>
          <t>Victoria (VIC)</t>
        </is>
      </c>
      <c r="AA282" s="11" t="n">
        <v>341.737727172645</v>
      </c>
      <c r="AB282" s="8" t="inlineStr">
        <is>
          <t>Baby Bunting Group Ltd. operates as a retailer of maternity and baby goods. It primarily engages in catering to parents with children from newborn up to three years of age and parents-to-be. The firm’s product categories include prams, cots and nursery furniture, car safety, toys, babywear, feeding, nappies, manchester, and associated accessories. It operates through the Australia and New Zealand geographical segments. The company was founded by Arnold Nadelaman and Gail Nadelman in 1979 and is headquartered in Dandenong South, Australia.</t>
        </is>
      </c>
      <c r="AC282" s="8" t="inlineStr">
        <is>
          <t>Furniture and Home Furnishings Stores</t>
        </is>
      </c>
      <c r="AD282" s="8" t="inlineStr">
        <is>
          <t>Home Improvement Retail</t>
        </is>
      </c>
      <c r="AE282" s="8" t="inlineStr">
        <is>
          <t>Consumer Retail</t>
        </is>
      </c>
      <c r="AF282" s="12" t="inlineStr">
        <is>
          <t>General Furniture and Home Furnishings Stores</t>
        </is>
      </c>
      <c r="AH282" t="n">
        <v>99</v>
      </c>
      <c r="AI282" t="n">
        <v>1</v>
      </c>
      <c r="AJ282" t="inlineStr">
        <is>
          <t>,in accordance with Australian Sustainability Reporting
•  Scope 1: 99 tonnes (FY2024: 119 tonnes) CO₂e,
,Standards (AASB S2). These are first expected to apply to</t>
        </is>
      </c>
      <c r="AK282" t="n">
        <v>6771</v>
      </c>
      <c r="AL282" t="n">
        <v>1</v>
      </c>
      <c r="AM282" t="inlineStr">
        <is>
          <t>,Standards (AASB S2). These are first expected to apply to
"•  Scope 2: 6,771 tonnes (FY2024: 6,728) tonnes CO₂e",
,Baby Bunting in relation to FY2026.</t>
        </is>
      </c>
      <c r="AN282" t="n">
        <v>0</v>
      </c>
      <c r="AQ282" t="n">
        <v>2</v>
      </c>
      <c r="AR282" t="n">
        <v>0.018272</v>
      </c>
      <c r="AS282" t="n">
        <v>0.003832</v>
      </c>
    </row>
    <row r="283" ht="15" customHeight="1">
      <c r="A283" s="8" t="inlineStr">
        <is>
          <t>IDX-AU</t>
        </is>
      </c>
      <c r="B283" s="8" t="inlineStr">
        <is>
          <t>Integral Diagnostics Ltd.</t>
        </is>
      </c>
      <c r="C283" s="8" t="n"/>
      <c r="D283" s="8" t="n"/>
      <c r="E283" s="8" t="n"/>
      <c r="F283" s="8" t="n"/>
      <c r="G283" s="8" t="n"/>
      <c r="H283" s="8" t="n"/>
      <c r="I283" s="8" t="n"/>
      <c r="J283" s="8" t="n"/>
      <c r="K283" s="8" t="n"/>
      <c r="L283" s="8" t="n"/>
      <c r="M283" s="8" t="n"/>
      <c r="N283" s="17" t="n"/>
      <c r="O283" s="17" t="n"/>
      <c r="P283" s="17" t="n"/>
      <c r="Q283" s="17" t="n"/>
      <c r="R283" s="10">
        <f>IFERROR(_xlfn.XLOOKUP($A283,Profitability!$A$5:$A$342,Profitability!$Q$5:$Q$342),"na")</f>
        <v/>
      </c>
      <c r="S283" s="10">
        <f>IFERROR(_xlfn.XLOOKUP($A283,Profitability!$A$5:$A$342,Profitability!$R$5:$R$342),"na")</f>
        <v/>
      </c>
      <c r="T283" s="8" t="inlineStr">
        <is>
          <t>Public</t>
        </is>
      </c>
      <c r="U283" s="8" t="inlineStr">
        <is>
          <t>Australia</t>
        </is>
      </c>
      <c r="V283" s="9" t="n">
        <v>2008</v>
      </c>
      <c r="W283" s="10" t="n">
        <v>2779</v>
      </c>
      <c r="X283" s="11" t="n">
        <v>627.215</v>
      </c>
      <c r="Y283" s="8" t="inlineStr">
        <is>
          <t>Pacific</t>
        </is>
      </c>
      <c r="Z283" s="8" t="inlineStr">
        <is>
          <t>Victoria (VIC)</t>
        </is>
      </c>
      <c r="AA283" s="11" t="n">
        <v>1426.47003515752</v>
      </c>
      <c r="AB283" s="8" t="inlineStr">
        <is>
          <t>Integral Diagnostics Ltd. engages in the provision of diagnostic imaging services to general practitioners, medical specialists, and allied professionals. It operates under three core brands: Lake Imaging, South Coast Radiology, and Global Diagnostics. The company was founded in 1967 and is headquartered in North Melbourne, Australia.</t>
        </is>
      </c>
      <c r="AC283" s="8" t="inlineStr">
        <is>
          <t>Ambulatory and Outpatient Diagnostic Patient Care</t>
        </is>
      </c>
      <c r="AD283" s="8" t="inlineStr">
        <is>
          <t>Patient Care</t>
        </is>
      </c>
      <c r="AE283" s="8" t="inlineStr">
        <is>
          <t>Healthcare Services</t>
        </is>
      </c>
      <c r="AF283" s="12" t="inlineStr">
        <is>
          <t>Other Ambulatory and Outpatient Diagnostic Care</t>
        </is>
      </c>
      <c r="AR283" t="n">
        <v>0.00745</v>
      </c>
    </row>
    <row r="284" ht="15" customHeight="1">
      <c r="A284" s="8" t="inlineStr">
        <is>
          <t>PWH-AU</t>
        </is>
      </c>
      <c r="B284" s="8" t="inlineStr">
        <is>
          <t>PWR Holdings Ltd.</t>
        </is>
      </c>
      <c r="C284" s="8" t="n"/>
      <c r="D284" s="8" t="n"/>
      <c r="E284" s="8" t="n"/>
      <c r="F284" s="8" t="n"/>
      <c r="G284" s="8" t="n"/>
      <c r="H284" s="8" t="n"/>
      <c r="I284" s="8" t="n"/>
      <c r="J284" s="8" t="n"/>
      <c r="K284" s="8" t="n"/>
      <c r="L284" s="8" t="n"/>
      <c r="M284" s="8" t="n"/>
      <c r="N284" s="17" t="n"/>
      <c r="O284" s="17" t="n"/>
      <c r="P284" s="17" t="n"/>
      <c r="Q284" s="17" t="n"/>
      <c r="R284" s="10">
        <f>IFERROR(_xlfn.XLOOKUP($A284,Profitability!$A$5:$A$342,Profitability!$Q$5:$Q$342),"na")</f>
        <v/>
      </c>
      <c r="S284" s="10">
        <f>IFERROR(_xlfn.XLOOKUP($A284,Profitability!$A$5:$A$342,Profitability!$R$5:$R$342),"na")</f>
        <v/>
      </c>
      <c r="T284" s="8" t="inlineStr">
        <is>
          <t>Public</t>
        </is>
      </c>
      <c r="U284" s="8" t="inlineStr">
        <is>
          <t>Australia</t>
        </is>
      </c>
      <c r="V284" s="9" t="n">
        <v>2003</v>
      </c>
      <c r="W284" s="10" t="n">
        <v>581</v>
      </c>
      <c r="X284" s="11" t="n">
        <v>130.099</v>
      </c>
      <c r="Y284" s="8" t="inlineStr">
        <is>
          <t>Pacific</t>
        </is>
      </c>
      <c r="Z284" s="8" t="inlineStr">
        <is>
          <t>Queensland (QLD)</t>
        </is>
      </c>
      <c r="AA284" s="11" t="n">
        <v>204.980005052043</v>
      </c>
      <c r="AB284" s="8" t="inlineStr">
        <is>
          <t>PWR Holdings Ltd. engages in design, prototyping, production, testing, validation, and sale of advanced cooling products and solutions to the motorsports, automotive original equipment manufacturing, aerospace and defence, and automotive aftermarket sectors for domestic and international markets. It operates through the PWR Performance Products and PWR C&amp;R segments. The PWR Performance Products segment is composed of its Australian and European operations. The C&amp;R segment deals with its USA operations. The company was founded by Kees Weel and Paul Weel in 1997 and is headquartered in Ormeau, Australia.</t>
        </is>
      </c>
      <c r="AC284" s="8" t="inlineStr">
        <is>
          <t>Consumer Vehicle Parts Manufacturing</t>
        </is>
      </c>
      <c r="AD284" s="8" t="inlineStr">
        <is>
          <t>Consumer Vehicles and Parts</t>
        </is>
      </c>
      <c r="AE284" s="8" t="inlineStr">
        <is>
          <t>Consumer Vehicles and Parts</t>
        </is>
      </c>
      <c r="AF284" s="12" t="inlineStr">
        <is>
          <t>Consumer Vehicle Powertrain and Chassis Makers</t>
        </is>
      </c>
      <c r="AR284" t="n">
        <v>0.075074</v>
      </c>
    </row>
    <row r="285" ht="15" customHeight="1">
      <c r="A285" s="8" t="inlineStr">
        <is>
          <t>MLG-AU</t>
        </is>
      </c>
      <c r="B285" s="8" t="inlineStr">
        <is>
          <t>MLG Oz Ltd.</t>
        </is>
      </c>
      <c r="C285" s="8" t="n"/>
      <c r="D285" s="8" t="n"/>
      <c r="E285" s="8" t="n"/>
      <c r="F285" s="8" t="n"/>
      <c r="G285" s="8" t="n"/>
      <c r="H285" s="8" t="n"/>
      <c r="I285" s="8" t="n"/>
      <c r="J285" s="8" t="n"/>
      <c r="K285" s="8" t="n"/>
      <c r="L285" s="8" t="n"/>
      <c r="M285" s="8" t="n"/>
      <c r="N285" s="17" t="n"/>
      <c r="O285" s="17" t="n"/>
      <c r="P285" s="17" t="n"/>
      <c r="Q285" s="17" t="n"/>
      <c r="R285" s="10">
        <f>IFERROR(_xlfn.XLOOKUP($A285,Profitability!$A$5:$A$342,Profitability!$Q$5:$Q$342),"na")</f>
        <v/>
      </c>
      <c r="S285" s="10">
        <f>IFERROR(_xlfn.XLOOKUP($A285,Profitability!$A$5:$A$342,Profitability!$R$5:$R$342),"na")</f>
        <v/>
      </c>
      <c r="T285" s="8" t="inlineStr">
        <is>
          <t>Public</t>
        </is>
      </c>
      <c r="U285" s="8" t="inlineStr">
        <is>
          <t>Australia</t>
        </is>
      </c>
      <c r="V285" s="9" t="n">
        <v>2002</v>
      </c>
      <c r="W285" s="10" t="inlineStr">
        <is>
          <t>-</t>
        </is>
      </c>
      <c r="X285" s="11" t="n">
        <v>540.394</v>
      </c>
      <c r="Y285" s="8" t="inlineStr">
        <is>
          <t>Pacific</t>
        </is>
      </c>
      <c r="Z285" s="8" t="inlineStr">
        <is>
          <t>Western Australia (WA)</t>
        </is>
      </c>
      <c r="AA285" s="11" t="n">
        <v>319.264007868746</v>
      </c>
      <c r="AB285" s="8" t="inlineStr">
        <is>
          <t>MLG Oz Ltd. engages in the provision of haulage, site services, open pit mining services, and crushing and screening services. The company was founded by Murray Leahy in 2002 and is headquartered in Kalgoorlie, Australia.</t>
        </is>
      </c>
      <c r="AC285" s="8" t="inlineStr">
        <is>
          <t>Specialty Contracting Services</t>
        </is>
      </c>
      <c r="AD285" s="8" t="inlineStr">
        <is>
          <t>Facilities and Construction Services</t>
        </is>
      </c>
      <c r="AE285" s="8" t="inlineStr">
        <is>
          <t>Industrial Services</t>
        </is>
      </c>
      <c r="AF285" s="12" t="inlineStr">
        <is>
          <t>Industrial Specialty Engineering Contractors</t>
        </is>
      </c>
      <c r="AR285" t="n">
        <v>0.022452</v>
      </c>
    </row>
    <row r="286" ht="15" customHeight="1">
      <c r="A286" s="8" t="inlineStr">
        <is>
          <t>IGL-AU</t>
        </is>
      </c>
      <c r="B286" s="8" t="inlineStr">
        <is>
          <t>IVE Group Ltd.</t>
        </is>
      </c>
      <c r="C286" s="8" t="n"/>
      <c r="D286" s="8" t="n"/>
      <c r="E286" s="8" t="n"/>
      <c r="F286" s="8" t="n"/>
      <c r="G286" s="8" t="n"/>
      <c r="H286" s="8" t="n"/>
      <c r="I286" s="8" t="n"/>
      <c r="J286" s="8" t="n"/>
      <c r="K286" s="8" t="n"/>
      <c r="L286" s="8" t="n"/>
      <c r="M286" s="8" t="n"/>
      <c r="N286" s="17" t="n"/>
      <c r="O286" s="17" t="n"/>
      <c r="P286" s="10" t="n">
        <v>13046</v>
      </c>
      <c r="Q286" s="10" t="n">
        <v>66101</v>
      </c>
      <c r="R286" s="10">
        <f>IFERROR(_xlfn.XLOOKUP($A286,Profitability!$A$5:$A$342,Profitability!$Q$5:$Q$342),"na")</f>
        <v/>
      </c>
      <c r="S286" s="10">
        <f>IFERROR(_xlfn.XLOOKUP($A286,Profitability!$A$5:$A$342,Profitability!$R$5:$R$342),"na")</f>
        <v/>
      </c>
      <c r="T286" s="8" t="inlineStr">
        <is>
          <t>Public</t>
        </is>
      </c>
      <c r="U286" s="8" t="inlineStr">
        <is>
          <t>Australia</t>
        </is>
      </c>
      <c r="V286" s="9" t="n">
        <v>2015</v>
      </c>
      <c r="W286" s="10" t="n">
        <v>2000</v>
      </c>
      <c r="X286" s="11" t="n">
        <v>959.245</v>
      </c>
      <c r="Y286" s="8" t="inlineStr">
        <is>
          <t>Pacific</t>
        </is>
      </c>
      <c r="Z286" s="8" t="inlineStr">
        <is>
          <t>New South Wales (NSW)</t>
        </is>
      </c>
      <c r="AA286" s="11" t="n">
        <v>663.858016361788</v>
      </c>
      <c r="AB286" s="8" t="inlineStr">
        <is>
          <t>IVE Group Ltd. engages in the provision of communication solutions. Its services includes creative services, personalized communications, print production, retail display, promotional merchandising, third party sourcing, logistics and fulfilment and managed solutions. The company was founded in 1996 and is headquartered in Sydney, Australia.</t>
        </is>
      </c>
      <c r="AC286" s="8" t="inlineStr">
        <is>
          <t>Marketing and Advertising Services</t>
        </is>
      </c>
      <c r="AD286" s="8" t="inlineStr">
        <is>
          <t>Marketing and Printing Services</t>
        </is>
      </c>
      <c r="AE286" s="8" t="inlineStr">
        <is>
          <t>Business Services</t>
        </is>
      </c>
      <c r="AF286" s="12" t="inlineStr">
        <is>
          <t>Other Marketing and Advertising Services</t>
        </is>
      </c>
      <c r="AR286" t="n">
        <v>0.048692</v>
      </c>
    </row>
    <row r="287" ht="15" customHeight="1">
      <c r="A287" s="8" t="inlineStr">
        <is>
          <t>BRI-AU</t>
        </is>
      </c>
      <c r="B287" s="8" t="inlineStr">
        <is>
          <t>Big River Industries Ltd.</t>
        </is>
      </c>
      <c r="C287" s="8" t="n"/>
      <c r="D287" s="8" t="n"/>
      <c r="E287" s="8" t="n"/>
      <c r="F287" s="8" t="n"/>
      <c r="G287" s="8" t="n"/>
      <c r="H287" s="8" t="n"/>
      <c r="I287" s="8" t="n"/>
      <c r="J287" s="8" t="n"/>
      <c r="K287" s="8" t="n"/>
      <c r="L287" s="8" t="n"/>
      <c r="M287" s="8" t="n"/>
      <c r="N287" s="17" t="n"/>
      <c r="O287" s="17" t="n"/>
      <c r="P287" s="17" t="n"/>
      <c r="Q287" s="17" t="n"/>
      <c r="R287" s="10">
        <f>IFERROR(_xlfn.XLOOKUP($A287,Profitability!$A$5:$A$342,Profitability!$Q$5:$Q$342),"na")</f>
        <v/>
      </c>
      <c r="S287" s="10">
        <f>IFERROR(_xlfn.XLOOKUP($A287,Profitability!$A$5:$A$342,Profitability!$R$5:$R$342),"na")</f>
        <v/>
      </c>
      <c r="T287" s="8" t="inlineStr">
        <is>
          <t>Public</t>
        </is>
      </c>
      <c r="U287" s="8" t="inlineStr">
        <is>
          <t>Australia</t>
        </is>
      </c>
      <c r="V287" s="9" t="n">
        <v>2015</v>
      </c>
      <c r="W287" s="10" t="inlineStr">
        <is>
          <t>-</t>
        </is>
      </c>
      <c r="X287" s="11" t="n">
        <v>405.093</v>
      </c>
      <c r="Y287" s="8" t="inlineStr">
        <is>
          <t>Pacific</t>
        </is>
      </c>
      <c r="Z287" s="8" t="inlineStr">
        <is>
          <t>New South Wales (NSW)</t>
        </is>
      </c>
      <c r="AA287" s="11" t="n">
        <v>258.347006367354</v>
      </c>
      <c r="AB287" s="8" t="inlineStr">
        <is>
          <t>Big River Industries Ltd. operates through Big River Group Pty Ltd, which engages in the manufacture and distribution of timber and building products. It manufactures softwood and hardwood form ply and structural plywood products; sells consumable formwork products; and trades and associated building products to local trade, medium sized, and enterprise sized companies. The company was founded on December 18, 2015 and is headquartered in Junction Hill, Australia.</t>
        </is>
      </c>
      <c r="AC287" s="8" t="inlineStr">
        <is>
          <t>Building Materials Distribution</t>
        </is>
      </c>
      <c r="AD287" s="8" t="inlineStr">
        <is>
          <t>Diversified Industrials Distribution</t>
        </is>
      </c>
      <c r="AE287" s="8" t="inlineStr">
        <is>
          <t>Industrial Services</t>
        </is>
      </c>
      <c r="AF287" s="12" t="inlineStr">
        <is>
          <t>Building Materials Distribution</t>
        </is>
      </c>
      <c r="AR287" t="n">
        <v>-0.036421</v>
      </c>
    </row>
    <row r="288" ht="15" customHeight="1">
      <c r="A288" s="8" t="inlineStr">
        <is>
          <t>NOL-AU</t>
        </is>
      </c>
      <c r="B288" s="8" t="inlineStr">
        <is>
          <t>Nobleoak Life Ltd.</t>
        </is>
      </c>
      <c r="C288" s="8" t="n"/>
      <c r="D288" s="8" t="n"/>
      <c r="E288" s="8" t="n"/>
      <c r="F288" s="8" t="n"/>
      <c r="G288" s="8" t="n"/>
      <c r="H288" s="8" t="n"/>
      <c r="I288" s="8" t="n"/>
      <c r="J288" s="8" t="n"/>
      <c r="K288" s="8" t="n"/>
      <c r="L288" s="8" t="n"/>
      <c r="M288" s="8" t="n"/>
      <c r="N288" s="17" t="n"/>
      <c r="O288" s="17" t="n"/>
      <c r="P288" s="17" t="n"/>
      <c r="Q288" s="17" t="n"/>
      <c r="R288" s="10">
        <f>IFERROR(_xlfn.XLOOKUP($A288,Profitability!$A$5:$A$342,Profitability!$Q$5:$Q$342),"na")</f>
        <v/>
      </c>
      <c r="S288" s="10">
        <f>IFERROR(_xlfn.XLOOKUP($A288,Profitability!$A$5:$A$342,Profitability!$R$5:$R$342),"na")</f>
        <v/>
      </c>
      <c r="T288" s="8" t="inlineStr">
        <is>
          <t>Public</t>
        </is>
      </c>
      <c r="U288" s="8" t="inlineStr">
        <is>
          <t>Australia</t>
        </is>
      </c>
      <c r="V288" s="9" t="n">
        <v>1902</v>
      </c>
      <c r="W288" s="10" t="inlineStr">
        <is>
          <t>-</t>
        </is>
      </c>
      <c r="X288" s="11" t="n">
        <v>476.446999999999</v>
      </c>
      <c r="Y288" s="8" t="inlineStr">
        <is>
          <t>Pacific</t>
        </is>
      </c>
      <c r="Z288" s="8" t="inlineStr">
        <is>
          <t>New South Wales (NSW)</t>
        </is>
      </c>
      <c r="AA288" s="11" t="n">
        <v>567.292013981773</v>
      </c>
      <c r="AB288" s="8" t="inlineStr">
        <is>
          <t>Nobleoak Life Ltd. engages in the manufacture and distribution of life insurance products. It operates through the following segments: Direct Business, Partnerships, and Genus. Its products include life insurance, income protection, TPD insurance, trauma insurance and business expenses. The company was founded in 1861 and is headquartered in Sydney, Australia.</t>
        </is>
      </c>
      <c r="AC288" s="8" t="inlineStr">
        <is>
          <t>Life and Health Insurance</t>
        </is>
      </c>
      <c r="AD288" s="8" t="inlineStr">
        <is>
          <t>Insurance</t>
        </is>
      </c>
      <c r="AE288" s="8" t="inlineStr">
        <is>
          <t>Insurance</t>
        </is>
      </c>
      <c r="AF288" s="12" t="inlineStr">
        <is>
          <t>Life and Health Insurance</t>
        </is>
      </c>
      <c r="AR288" t="n">
        <v>0.014936</v>
      </c>
    </row>
    <row r="289" ht="15" customHeight="1">
      <c r="A289" s="8" t="inlineStr">
        <is>
          <t>KGN-AU</t>
        </is>
      </c>
      <c r="B289" s="8" t="inlineStr">
        <is>
          <t>Kogan.com Ltd.</t>
        </is>
      </c>
      <c r="C289" s="8" t="n"/>
      <c r="D289" s="8" t="n"/>
      <c r="E289" s="8" t="n"/>
      <c r="F289" s="8" t="n"/>
      <c r="G289" s="8" t="n"/>
      <c r="H289" s="8" t="n"/>
      <c r="I289" s="8" t="n"/>
      <c r="J289" s="8" t="n"/>
      <c r="K289" s="8" t="n"/>
      <c r="L289" s="8" t="n"/>
      <c r="M289" s="8" t="n"/>
      <c r="N289" s="17" t="n"/>
      <c r="O289" s="17" t="n"/>
      <c r="P289" s="17" t="n"/>
      <c r="Q289" s="17" t="n"/>
      <c r="R289" s="10">
        <f>IFERROR(_xlfn.XLOOKUP($A289,Profitability!$A$5:$A$342,Profitability!$Q$5:$Q$342),"na")</f>
        <v/>
      </c>
      <c r="S289" s="10">
        <f>IFERROR(_xlfn.XLOOKUP($A289,Profitability!$A$5:$A$342,Profitability!$R$5:$R$342),"na")</f>
        <v/>
      </c>
      <c r="T289" s="8" t="inlineStr">
        <is>
          <t>Public</t>
        </is>
      </c>
      <c r="U289" s="8" t="inlineStr">
        <is>
          <t>Australia</t>
        </is>
      </c>
      <c r="V289" s="9" t="n">
        <v>2006</v>
      </c>
      <c r="W289" s="10" t="inlineStr">
        <is>
          <t>-</t>
        </is>
      </c>
      <c r="X289" s="11" t="n">
        <v>487.948999999999</v>
      </c>
      <c r="Y289" s="8" t="inlineStr">
        <is>
          <t>Pacific</t>
        </is>
      </c>
      <c r="Z289" s="8" t="inlineStr">
        <is>
          <t>Victoria (VIC)</t>
        </is>
      </c>
      <c r="AA289" s="11" t="n">
        <v>200.611004944362</v>
      </c>
      <c r="AB289" s="8" t="inlineStr">
        <is>
          <t>Kogan.com Ltd. engages in the business of a portfolio of retail and services. It operates through the Kogan.com and Mighty Ape segments. The Kogan.com segment includes online retailing, marketplace selling in-house, and third-party brand products, providing memberships, generating platform-based revenue including seller fees for marketplace sellers, commission-based telecommunication, internet, insurance, utilities, and travel as well as advertising fees on advertising platform. The Mighty Ape segment is involved in online specialist retail of gaming and entertainment products. It also provides subscriptions and commission-based telecommunication services to customers. The company was founded by Ruslan Kogan in 2006 and is headquartered in South Melbourne, Australia.</t>
        </is>
      </c>
      <c r="AC289" s="8" t="inlineStr">
        <is>
          <t>-</t>
        </is>
      </c>
      <c r="AD289" s="8" t="inlineStr">
        <is>
          <t>-</t>
        </is>
      </c>
      <c r="AE289" s="8" t="inlineStr">
        <is>
          <t>-</t>
        </is>
      </c>
      <c r="AF289" s="12" t="inlineStr">
        <is>
          <t>-</t>
        </is>
      </c>
      <c r="AR289" t="n">
        <v>-0.08087900000000001</v>
      </c>
    </row>
    <row r="290" ht="15" customHeight="1">
      <c r="A290" s="8" t="inlineStr">
        <is>
          <t>WPR-AU</t>
        </is>
      </c>
      <c r="B290" s="8" t="inlineStr">
        <is>
          <t>Waypoint REIT Ltd.</t>
        </is>
      </c>
      <c r="C290" s="8" t="n"/>
      <c r="D290" s="8" t="n"/>
      <c r="E290" s="8" t="n"/>
      <c r="F290" s="8" t="n"/>
      <c r="G290" s="8" t="n"/>
      <c r="H290" s="8" t="n"/>
      <c r="I290" s="8" t="n"/>
      <c r="J290" s="8" t="n"/>
      <c r="K290" s="8" t="n"/>
      <c r="L290" s="8" t="n"/>
      <c r="M290" s="8" t="n"/>
      <c r="N290" s="17" t="n"/>
      <c r="O290" s="17" t="n"/>
      <c r="P290" s="17" t="n"/>
      <c r="Q290" s="17" t="n"/>
      <c r="R290" s="10">
        <f>IFERROR(_xlfn.XLOOKUP($A290,Profitability!$A$5:$A$342,Profitability!$Q$5:$Q$342),"na")</f>
        <v/>
      </c>
      <c r="S290" s="10">
        <f>IFERROR(_xlfn.XLOOKUP($A290,Profitability!$A$5:$A$342,Profitability!$R$5:$R$342),"na")</f>
        <v/>
      </c>
      <c r="T290" s="8" t="inlineStr">
        <is>
          <t>Public</t>
        </is>
      </c>
      <c r="U290" s="8" t="inlineStr">
        <is>
          <t>Australia</t>
        </is>
      </c>
      <c r="V290" s="9" t="n">
        <v>2016</v>
      </c>
      <c r="W290" s="10" t="inlineStr">
        <is>
          <t>-</t>
        </is>
      </c>
      <c r="X290" s="11" t="n">
        <v>165</v>
      </c>
      <c r="Y290" s="8" t="inlineStr">
        <is>
          <t>Pacific</t>
        </is>
      </c>
      <c r="Z290" s="8" t="inlineStr">
        <is>
          <t>Victoria (VIC)</t>
        </is>
      </c>
      <c r="AA290" s="11" t="n">
        <v>2824.99991237343</v>
      </c>
      <c r="AB290" s="8" t="inlineStr">
        <is>
          <t>Waypoint REIT Ltd. is a real investment trust fund, which engages in property leasing and investment. It has 425 services stations located through Australian States and Territories. The company was founded on June 14, 2016 and is headquartered in Docklands, Australia.</t>
        </is>
      </c>
      <c r="AC290" s="8" t="inlineStr">
        <is>
          <t>Equity REITs</t>
        </is>
      </c>
      <c r="AD290" s="8" t="inlineStr">
        <is>
          <t>Real Estate Investment Trusts (REITs)</t>
        </is>
      </c>
      <c r="AE290" s="8" t="inlineStr">
        <is>
          <t>Real Estate</t>
        </is>
      </c>
      <c r="AF290" s="12" t="inlineStr">
        <is>
          <t>Equity REITs</t>
        </is>
      </c>
      <c r="AH290" t="n">
        <v>0</v>
      </c>
      <c r="AJ290" t="inlineStr">
        <is>
          <t>FY23 Measured Emissions. Scope 1 is zero [29, 30]. Scope 2 emissions are market-based [31]. Scope 3 total includes only selected direct Scope 3 categories (3, 5, 6, 7, 8) [29, 30, 32].</t>
        </is>
      </c>
      <c r="AK290" t="n">
        <v>3</v>
      </c>
      <c r="AM290" t="inlineStr">
        <is>
          <t>FY23 Measured Emissions. Scope 1 is zero [29, 30]. Scope 2 emissions are market-based [31]. Scope 3 total includes only selected direct Scope 3 categories (3, 5, 6, 7, 8) [29, 30, 32].</t>
        </is>
      </c>
      <c r="AN290" t="n">
        <v>66</v>
      </c>
      <c r="AP290" t="inlineStr">
        <is>
          <t>FY23 Measured Emissions. Scope 1 is zero [29, 30]. Scope 2 emissions are market-based [31]. Scope 3 total includes only selected direct Scope 3 categories (3, 5, 6, 7, 8) [29, 30, 32].</t>
        </is>
      </c>
      <c r="AR290" t="n">
        <v>0.79697</v>
      </c>
    </row>
    <row r="291" ht="15" customHeight="1">
      <c r="A291" s="8" t="inlineStr">
        <is>
          <t>MHJ-AU</t>
        </is>
      </c>
      <c r="B291" s="8" t="inlineStr">
        <is>
          <t>Michael Hill International Ltd.</t>
        </is>
      </c>
      <c r="C291" s="8" t="n"/>
      <c r="D291" s="8" t="n"/>
      <c r="E291" s="8" t="n"/>
      <c r="F291" s="8" t="n"/>
      <c r="G291" s="8" t="n"/>
      <c r="H291" s="8" t="n"/>
      <c r="I291" s="8" t="n"/>
      <c r="J291" s="8" t="n"/>
      <c r="K291" s="8" t="n"/>
      <c r="L291" s="8" t="n"/>
      <c r="M291" s="8" t="n"/>
      <c r="N291" s="17" t="n"/>
      <c r="O291" s="17" t="n"/>
      <c r="P291" s="17" t="n"/>
      <c r="Q291" s="17" t="n"/>
      <c r="R291" s="10">
        <f>IFERROR(_xlfn.XLOOKUP($A291,Profitability!$A$5:$A$342,Profitability!$Q$5:$Q$342),"na")</f>
        <v/>
      </c>
      <c r="S291" s="10">
        <f>IFERROR(_xlfn.XLOOKUP($A291,Profitability!$A$5:$A$342,Profitability!$R$5:$R$342),"na")</f>
        <v/>
      </c>
      <c r="T291" s="8" t="inlineStr">
        <is>
          <t>Public</t>
        </is>
      </c>
      <c r="U291" s="8" t="inlineStr">
        <is>
          <t>Australia</t>
        </is>
      </c>
      <c r="V291" s="9" t="n">
        <v>2016</v>
      </c>
      <c r="W291" s="10" t="inlineStr">
        <is>
          <t>-</t>
        </is>
      </c>
      <c r="X291" s="11" t="n">
        <v>643.655000004193</v>
      </c>
      <c r="Y291" s="8" t="inlineStr">
        <is>
          <t>Pacific</t>
        </is>
      </c>
      <c r="Z291" s="8" t="inlineStr">
        <is>
          <t>Queensland (QLD)</t>
        </is>
      </c>
      <c r="AA291" s="11" t="n">
        <v>518.395012780472</v>
      </c>
      <c r="AB291" s="8" t="inlineStr">
        <is>
          <t>Michael Hill International Ltd. engages in the retail sale of jewellery and related services. It offers rings, charms, watches, and gifts. It operates through the following geographical segments: Australia, New Zealand, Canada, and Corporate and Other. The Corporate and Other segment focuses on revenue and expenses that do not relate directly to the relevant Michael Hill Group retail segments. The company was founded by Richard Michael Hill and Ann Christine Lady-Hill in 1979 and is headquartered in Cannon Hill, Australia.</t>
        </is>
      </c>
      <c r="AC291" s="8" t="inlineStr">
        <is>
          <t>Accessories Retail</t>
        </is>
      </c>
      <c r="AD291" s="8" t="inlineStr">
        <is>
          <t>Apparel and Accessories Retail</t>
        </is>
      </c>
      <c r="AE291" s="8" t="inlineStr">
        <is>
          <t>Consumer Retail</t>
        </is>
      </c>
      <c r="AF291" s="12" t="inlineStr">
        <is>
          <t>Jewelry Stores</t>
        </is>
      </c>
      <c r="AH291" t="n">
        <v>26</v>
      </c>
      <c r="AI291" t="n">
        <v>0.9</v>
      </c>
      <c r="AJ291" t="inlineStr">
        <is>
          <t>transportation and distribution (category 4) to comprise,remain on track to meet our reporting obligations for
most of our scope 3 emissions inventory.,FY26. We have identified key climate-related risks and
,"opportunities, integrated climate risk into our broader"</t>
        </is>
      </c>
      <c r="AK291" t="n">
        <v>2390</v>
      </c>
      <c r="AL291" t="n">
        <v>0.9</v>
      </c>
      <c r="AM291" t="inlineStr">
        <is>
          <t>,,,,"and heating, calculated using both location-based and"
Market-based,"2,217","1,449",281,market-based methodologies. Our total location-based
,,,,emissions have increased 6% on last year due to a higher</t>
        </is>
      </c>
      <c r="AN291" t="n">
        <v>0</v>
      </c>
      <c r="AQ291" t="n">
        <v>14</v>
      </c>
      <c r="AR291" t="n">
        <v>0.003261</v>
      </c>
      <c r="AS291" t="n">
        <v>0.021751</v>
      </c>
    </row>
    <row r="292" ht="15" customHeight="1">
      <c r="A292" s="8" t="inlineStr">
        <is>
          <t>QOR-AU</t>
        </is>
      </c>
      <c r="B292" s="8" t="inlineStr">
        <is>
          <t>Qoria Ltd.</t>
        </is>
      </c>
      <c r="C292" s="8" t="n"/>
      <c r="D292" s="8" t="n"/>
      <c r="E292" s="8" t="n"/>
      <c r="F292" s="8" t="n"/>
      <c r="G292" s="8" t="n"/>
      <c r="H292" s="8" t="n"/>
      <c r="I292" s="8" t="n"/>
      <c r="J292" s="8" t="n"/>
      <c r="K292" s="8" t="n"/>
      <c r="L292" s="8" t="n"/>
      <c r="M292" s="8" t="n"/>
      <c r="N292" s="17" t="n"/>
      <c r="O292" s="17" t="n"/>
      <c r="P292" s="17" t="n"/>
      <c r="Q292" s="17" t="n"/>
      <c r="R292" s="10">
        <f>IFERROR(_xlfn.XLOOKUP($A292,Profitability!$A$5:$A$342,Profitability!$Q$5:$Q$342),"na")</f>
        <v/>
      </c>
      <c r="S292" s="10">
        <f>IFERROR(_xlfn.XLOOKUP($A292,Profitability!$A$5:$A$342,Profitability!$R$5:$R$342),"na")</f>
        <v/>
      </c>
      <c r="T292" s="8" t="inlineStr">
        <is>
          <t>Public</t>
        </is>
      </c>
      <c r="U292" s="8" t="inlineStr">
        <is>
          <t>Australia</t>
        </is>
      </c>
      <c r="V292" s="9" t="n">
        <v>2014</v>
      </c>
      <c r="W292" s="10" t="n">
        <v>600</v>
      </c>
      <c r="X292" s="11" t="n">
        <v>117.290569999999</v>
      </c>
      <c r="Y292" s="8" t="inlineStr">
        <is>
          <t>Pacific</t>
        </is>
      </c>
      <c r="Z292" s="8" t="inlineStr">
        <is>
          <t>Western Australia (WA)</t>
        </is>
      </c>
      <c r="AA292" s="11" t="n">
        <v>333.435478218023</v>
      </c>
      <c r="AB292" s="8" t="inlineStr">
        <is>
          <t>Qoria Ltd. engages in the development of parental control platform. It intends to create a system that manages the majority of the parental control functions in a cloud-based application. The company was founded by Timothy David Levy, Ben Trigger, Paul Robinson, and Crispin Marcel Swan in 2014 and is headquartered in West Perth, Australia.</t>
        </is>
      </c>
      <c r="AC292" s="8" t="inlineStr">
        <is>
          <t>IT Infrastructure Software</t>
        </is>
      </c>
      <c r="AD292" s="8" t="inlineStr">
        <is>
          <t>Software</t>
        </is>
      </c>
      <c r="AE292" s="8" t="inlineStr">
        <is>
          <t>Software and Consulting</t>
        </is>
      </c>
      <c r="AF292" s="12" t="inlineStr">
        <is>
          <t>Network Infrastructure Software</t>
        </is>
      </c>
      <c r="AR292" t="n">
        <v>-0.306533</v>
      </c>
    </row>
    <row r="293" ht="15" customHeight="1">
      <c r="A293" s="8" t="inlineStr">
        <is>
          <t>CLW-AU</t>
        </is>
      </c>
      <c r="B293" s="8" t="inlineStr">
        <is>
          <t>Charter Hall Long WALE REIT</t>
        </is>
      </c>
      <c r="D293" s="8" t="n"/>
      <c r="E293" s="8" t="n"/>
      <c r="F293" s="8" t="n"/>
      <c r="G293" s="8" t="n"/>
      <c r="H293" s="8" t="n"/>
      <c r="I293" s="8" t="n"/>
      <c r="J293" s="8" t="n"/>
      <c r="K293" s="8" t="n"/>
      <c r="L293" s="8" t="n"/>
      <c r="M293" s="8" t="n"/>
      <c r="N293" s="17" t="n"/>
      <c r="O293" s="17" t="n"/>
      <c r="P293" s="17" t="n"/>
      <c r="Q293" s="17" t="n"/>
      <c r="R293" s="10">
        <f>IFERROR(_xlfn.XLOOKUP($A293,Profitability!$A$5:$A$342,Profitability!$Q$5:$Q$342),"na")</f>
        <v/>
      </c>
      <c r="S293" s="10">
        <f>IFERROR(_xlfn.XLOOKUP($A293,Profitability!$A$5:$A$342,Profitability!$R$5:$R$342),"na")</f>
        <v/>
      </c>
      <c r="T293" s="8" t="inlineStr">
        <is>
          <t>Public</t>
        </is>
      </c>
      <c r="U293" s="8" t="inlineStr">
        <is>
          <t>Australia</t>
        </is>
      </c>
      <c r="V293" s="9" t="n">
        <v>1991</v>
      </c>
      <c r="W293" s="10" t="inlineStr">
        <is>
          <t>-</t>
        </is>
      </c>
      <c r="X293" s="11" t="n">
        <v>183.621999999999</v>
      </c>
      <c r="Y293" s="8" t="inlineStr">
        <is>
          <t>Pacific</t>
        </is>
      </c>
      <c r="Z293" s="8" t="inlineStr">
        <is>
          <t>New South Wales (NSW)</t>
        </is>
      </c>
      <c r="AA293" s="11" t="n">
        <v>4929.56812149669</v>
      </c>
      <c r="AB293" s="8" t="inlineStr">
        <is>
          <t>Charter Hall Long WALE REIT engages in the operation of real estate investment trust companies. It operates through the following segments: Property Investments, Development Investments, and Funds Management. The Property Investments segment consists of property funds. The Development Investments segment includes investments in developments. The Funds Managements segment refers to the investment management services and property management services. The company was founded in 1991 and is headquartered in Sydney, Australia.</t>
        </is>
      </c>
      <c r="AC293" s="8" t="inlineStr">
        <is>
          <t>Equity REITs</t>
        </is>
      </c>
      <c r="AD293" s="8" t="inlineStr">
        <is>
          <t>Real Estate Investment Trusts (REITs)</t>
        </is>
      </c>
      <c r="AE293" s="8" t="inlineStr">
        <is>
          <t>Real Estate</t>
        </is>
      </c>
      <c r="AF293" s="12" t="inlineStr">
        <is>
          <t>Equity REITs</t>
        </is>
      </c>
    </row>
    <row r="294" ht="15" customHeight="1">
      <c r="A294" s="8" t="inlineStr">
        <is>
          <t>JLG-AU</t>
        </is>
      </c>
      <c r="B294" s="8" t="inlineStr">
        <is>
          <t>Johns Lyng Group Ltd.</t>
        </is>
      </c>
      <c r="C294" s="8" t="n"/>
      <c r="D294" s="8" t="n"/>
      <c r="E294" s="8" t="n"/>
      <c r="F294" s="8" t="n"/>
      <c r="G294" s="8" t="n"/>
      <c r="H294" s="8" t="n"/>
      <c r="I294" s="8" t="n"/>
      <c r="J294" s="8" t="n"/>
      <c r="K294" s="8" t="n"/>
      <c r="L294" s="8" t="n"/>
      <c r="M294" s="8" t="n"/>
      <c r="N294" s="17" t="n"/>
      <c r="O294" s="17" t="n"/>
      <c r="P294" s="17" t="n"/>
      <c r="Q294" s="17" t="n"/>
      <c r="R294" s="10">
        <f>IFERROR(_xlfn.XLOOKUP($A294,Profitability!$A$5:$A$342,Profitability!$Q$5:$Q$342),"na")</f>
        <v/>
      </c>
      <c r="S294" s="10">
        <f>IFERROR(_xlfn.XLOOKUP($A294,Profitability!$A$5:$A$342,Profitability!$R$5:$R$342),"na")</f>
        <v/>
      </c>
      <c r="T294" s="8" t="inlineStr">
        <is>
          <t>Public</t>
        </is>
      </c>
      <c r="U294" s="8" t="inlineStr">
        <is>
          <t>Australia</t>
        </is>
      </c>
      <c r="V294" s="9" t="n">
        <v>2017</v>
      </c>
      <c r="W294" s="10" t="n">
        <v>18600</v>
      </c>
      <c r="X294" s="11" t="n">
        <v>1179.88699999999</v>
      </c>
      <c r="Y294" s="8" t="inlineStr">
        <is>
          <t>Pacific</t>
        </is>
      </c>
      <c r="Z294" s="8" t="inlineStr">
        <is>
          <t>Victoria (VIC)</t>
        </is>
      </c>
      <c r="AA294" s="11" t="n">
        <v>1029.16002536521</v>
      </c>
      <c r="AB294" s="8" t="inlineStr">
        <is>
          <t>Johns Lyng Group Ltd. engages in the provision of building and restoration services. It operates through the following segments: Insurance Building and Restoration Services, Commercial Building Services, Commercial Construction, and Other. The Insurance and Building Restoration Services segment engages in building and restoration jobs. The Commercial Building Services segment offers commercial glazing, commercial flooring, shop fitting, hazardous waste removal, and emergency domestic services. The Commercial Construction Services segment includes traditional commercial building activities in Victoria. The Other segment represents unallocated corporate overhead costs and a start-up recruitment and labour hire business which undertakes jobs on behalf of the Group and external clients. The company was founded in 1953 and is headquartered in Doncaster, Australia.</t>
        </is>
      </c>
      <c r="AC294" s="8" t="inlineStr">
        <is>
          <t>Specialty Contracting Services</t>
        </is>
      </c>
      <c r="AD294" s="8" t="inlineStr">
        <is>
          <t>Facilities and Construction Services</t>
        </is>
      </c>
      <c r="AE294" s="8" t="inlineStr">
        <is>
          <t>Industrial Services</t>
        </is>
      </c>
      <c r="AF294" s="12" t="inlineStr">
        <is>
          <t>Commercial Specialty Engineering Contractors</t>
        </is>
      </c>
    </row>
    <row r="295" ht="15" customHeight="1">
      <c r="A295" s="8" t="inlineStr">
        <is>
          <t>ASG-AU</t>
        </is>
      </c>
      <c r="B295" s="8" t="inlineStr">
        <is>
          <t>Autosports Group Ltd.</t>
        </is>
      </c>
      <c r="C295" s="8" t="n"/>
      <c r="D295" s="8" t="n"/>
      <c r="E295" s="8" t="n"/>
      <c r="F295" s="8" t="n"/>
      <c r="G295" s="8" t="n"/>
      <c r="H295" s="8" t="n"/>
      <c r="I295" s="8" t="n"/>
      <c r="J295" s="8" t="n"/>
      <c r="K295" s="8" t="n"/>
      <c r="L295" s="8" t="n"/>
      <c r="M295" s="8" t="n"/>
      <c r="N295" s="17" t="n"/>
      <c r="O295" s="17" t="n"/>
      <c r="P295" s="17" t="n"/>
      <c r="Q295" s="17" t="n"/>
      <c r="R295" s="10">
        <f>IFERROR(_xlfn.XLOOKUP($A295,Profitability!$A$5:$A$342,Profitability!$Q$5:$Q$342),"na")</f>
        <v/>
      </c>
      <c r="S295" s="10">
        <f>IFERROR(_xlfn.XLOOKUP($A295,Profitability!$A$5:$A$342,Profitability!$R$5:$R$342),"na")</f>
        <v/>
      </c>
      <c r="T295" s="8" t="inlineStr">
        <is>
          <t>Public</t>
        </is>
      </c>
      <c r="U295" s="8" t="inlineStr">
        <is>
          <t>Australia</t>
        </is>
      </c>
      <c r="V295" s="9" t="n">
        <v>2006</v>
      </c>
      <c r="W295" s="10" t="inlineStr">
        <is>
          <t>-</t>
        </is>
      </c>
      <c r="X295" s="11" t="n">
        <v>2864.45199999999</v>
      </c>
      <c r="Y295" s="8" t="inlineStr">
        <is>
          <t>Pacific</t>
        </is>
      </c>
      <c r="Z295" s="8" t="inlineStr">
        <is>
          <t>New South Wales (NSW)</t>
        </is>
      </c>
      <c r="AA295" s="11" t="n">
        <v>1885.57804647293</v>
      </c>
      <c r="AB295" s="8" t="inlineStr">
        <is>
          <t>Autosports Group Ltd. engages in the sale of new and used motor vehicles. It also involves in the distribution of finance and insurance products on behalf of retail financiers and automotive insurers, sale of aftermarket products and spare parts, motor vehicle servicing, and collision repair services. The company was founded by Nicholas Pagent and James Pagent in 2006 and is headquartered in Leichardt, Australia.</t>
        </is>
      </c>
      <c r="AC295" s="8" t="inlineStr">
        <is>
          <t>Motor Vehicle Sales</t>
        </is>
      </c>
      <c r="AD295" s="8" t="inlineStr">
        <is>
          <t>Auto Retail</t>
        </is>
      </c>
      <c r="AE295" s="8" t="inlineStr">
        <is>
          <t>Miscellaneous Retail</t>
        </is>
      </c>
      <c r="AF295" s="12" t="inlineStr">
        <is>
          <t>Automobile Dealers</t>
        </is>
      </c>
      <c r="AR295" t="n">
        <v>0.011471</v>
      </c>
    </row>
    <row r="296" ht="15" customHeight="1">
      <c r="A296" s="8" t="inlineStr">
        <is>
          <t>LU7-AU</t>
        </is>
      </c>
      <c r="B296" s="8" t="inlineStr">
        <is>
          <t>Lithium Universe Ltd.</t>
        </is>
      </c>
      <c r="C296" s="8" t="n"/>
      <c r="D296" s="8" t="n"/>
      <c r="E296" s="8" t="n"/>
      <c r="F296" s="8" t="n"/>
      <c r="G296" s="8" t="n"/>
      <c r="H296" s="8" t="n"/>
      <c r="I296" s="8" t="n"/>
      <c r="J296" s="8" t="n"/>
      <c r="K296" s="8" t="n"/>
      <c r="L296" s="8" t="n"/>
      <c r="M296" s="8" t="n"/>
      <c r="N296" s="17" t="n"/>
      <c r="O296" s="17" t="n"/>
      <c r="P296" s="17" t="n"/>
      <c r="Q296" s="17" t="n"/>
      <c r="R296" s="10">
        <f>IFERROR(_xlfn.XLOOKUP($A296,Profitability!$A$5:$A$342,Profitability!$Q$5:$Q$342),"na")</f>
        <v/>
      </c>
      <c r="S296" s="10">
        <f>IFERROR(_xlfn.XLOOKUP($A296,Profitability!$A$5:$A$342,Profitability!$R$5:$R$342),"na")</f>
        <v/>
      </c>
      <c r="T296" s="8" t="inlineStr">
        <is>
          <t>Public</t>
        </is>
      </c>
      <c r="U296" s="8" t="inlineStr">
        <is>
          <t>Australia</t>
        </is>
      </c>
      <c r="V296" s="9" t="n">
        <v>2011</v>
      </c>
      <c r="W296" s="10" t="n">
        <v>55000</v>
      </c>
      <c r="X296" s="11" t="n">
        <v>0</v>
      </c>
      <c r="Y296" s="8" t="inlineStr">
        <is>
          <t>Pacific</t>
        </is>
      </c>
      <c r="Z296" s="8" t="inlineStr">
        <is>
          <t>Victoria (VIC)</t>
        </is>
      </c>
      <c r="AA296" s="11" t="n">
        <v>6.50983479807626</v>
      </c>
      <c r="AB296" s="8" t="inlineStr">
        <is>
          <t>Lithium Universe Ltd. engages in the business of design and development of its online media platform. It operates through the eSports and Unallocated segments. The eSports segment includes equity investments and intangible assets and all expenses related to the eSports business. The Unallocated segment includes treasury, corporate and regular expenses arising from operating an entity, corporate assets, including cash and cash equivalents The company was founded on January 20, 2011 and is headquartered in Melbourne, Australia.</t>
        </is>
      </c>
      <c r="AC296" s="8" t="inlineStr">
        <is>
          <t>Base Metal Mining</t>
        </is>
      </c>
      <c r="AD296" s="8" t="inlineStr">
        <is>
          <t>Metal Ore Mining</t>
        </is>
      </c>
      <c r="AE296" s="8" t="inlineStr">
        <is>
          <t>Mining and Mineral Products</t>
        </is>
      </c>
      <c r="AF296" s="12" t="inlineStr">
        <is>
          <t>Lithium Ore Mining</t>
        </is>
      </c>
    </row>
    <row r="297" ht="15" customHeight="1">
      <c r="A297" s="8" t="inlineStr">
        <is>
          <t>VNT-AU</t>
        </is>
      </c>
      <c r="B297" s="8" t="inlineStr">
        <is>
          <t>Ventia Services Group Ltd.</t>
        </is>
      </c>
      <c r="C297" s="8" t="n"/>
      <c r="D297" s="8" t="n"/>
      <c r="E297" s="8" t="n"/>
      <c r="F297" s="8" t="n"/>
      <c r="G297" s="8" t="n"/>
      <c r="H297" s="8" t="n"/>
      <c r="I297" s="8" t="n"/>
      <c r="J297" s="8" t="n"/>
      <c r="K297" s="8" t="n"/>
      <c r="L297" s="8" t="n"/>
      <c r="M297" s="8" t="n"/>
      <c r="N297" s="17" t="n"/>
      <c r="O297" s="17" t="n"/>
      <c r="P297" s="17" t="n"/>
      <c r="Q297" s="17" t="n"/>
      <c r="R297" s="10">
        <f>IFERROR(_xlfn.XLOOKUP($A297,Profitability!$A$5:$A$342,Profitability!$Q$5:$Q$342),"na")</f>
        <v/>
      </c>
      <c r="S297" s="10">
        <f>IFERROR(_xlfn.XLOOKUP($A297,Profitability!$A$5:$A$342,Profitability!$R$5:$R$342),"na")</f>
        <v/>
      </c>
      <c r="T297" s="8" t="inlineStr">
        <is>
          <t>Public</t>
        </is>
      </c>
      <c r="U297" s="8" t="inlineStr">
        <is>
          <t>Australia</t>
        </is>
      </c>
      <c r="V297" s="9" t="n">
        <v>2014</v>
      </c>
      <c r="W297" s="10" t="n">
        <v>35000</v>
      </c>
      <c r="X297" s="11" t="n">
        <v>6105.49999999999</v>
      </c>
      <c r="Y297" s="8" t="inlineStr">
        <is>
          <t>Pacific</t>
        </is>
      </c>
      <c r="Z297" s="8" t="inlineStr">
        <is>
          <t>New South Wales (NSW)</t>
        </is>
      </c>
      <c r="AA297" s="11" t="n">
        <v>2941.79990875049</v>
      </c>
      <c r="AB297" s="8" t="inlineStr">
        <is>
          <t>Ventia Services Group Ltd. is an essential infrastructure services provider. It provides the services across a diverse range of industry segments through long-term contracts with government agencies and blue-chip organizations. It operates through the following segments: Defence &amp; Social Infrastructure, Infrastructure Services, Telecommunications, and Transport. The Defence &amp; Social Infrastructure segment offers a range of maintenance and support services across the defense, social infrastructure, local government, property, and critical infrastructure business units. The Infrastructure Services segment supports the ongoing maintenance of infrastructure such as utility infrastructure, mine operation facilities, gas wells and other industrial facilities. The Telecommunications segment covers end-to-end service capability that span design, supply, minor construction, installation, commissioning, and maintenance of telecommunications networks and infrastructure. The Transport segment involves maintenance, project delivery, and technology solutions for owners and operators of road, motorway, tunnel, and rail networks. The company was founded in 1956 and is headquartered in North Sydney, Australia.</t>
        </is>
      </c>
      <c r="AC297" s="8" t="inlineStr">
        <is>
          <t>Infrastructure Construction/Contracting Services</t>
        </is>
      </c>
      <c r="AD297" s="8" t="inlineStr">
        <is>
          <t>Facilities and Construction Services</t>
        </is>
      </c>
      <c r="AE297" s="8" t="inlineStr">
        <is>
          <t>Industrial Services</t>
        </is>
      </c>
      <c r="AF297" s="12" t="inlineStr">
        <is>
          <t>Infrastructure Construction</t>
        </is>
      </c>
      <c r="AR297" t="n">
        <v>0.036066</v>
      </c>
    </row>
    <row r="298" ht="15" customHeight="1">
      <c r="A298" s="8" t="inlineStr">
        <is>
          <t>MAF-AU</t>
        </is>
      </c>
      <c r="B298" s="8" t="inlineStr">
        <is>
          <t>MA Financial Group Ltd.</t>
        </is>
      </c>
      <c r="C298" s="8" t="n"/>
      <c r="D298" s="8" t="n"/>
      <c r="E298" s="8" t="n"/>
      <c r="F298" s="8" t="n"/>
      <c r="G298" s="8" t="n"/>
      <c r="H298" s="8" t="n"/>
      <c r="I298" s="8" t="n"/>
      <c r="J298" s="8" t="n"/>
      <c r="K298" s="8" t="n"/>
      <c r="L298" s="8" t="n"/>
      <c r="M298" s="8" t="n"/>
      <c r="N298" s="17" t="n"/>
      <c r="O298" s="17" t="n"/>
      <c r="P298" s="17" t="n"/>
      <c r="Q298" s="17" t="n"/>
      <c r="R298" s="10">
        <f>IFERROR(_xlfn.XLOOKUP($A298,Profitability!$A$5:$A$342,Profitability!$Q$5:$Q$342),"na")</f>
        <v/>
      </c>
      <c r="S298" s="10">
        <f>IFERROR(_xlfn.XLOOKUP($A298,Profitability!$A$5:$A$342,Profitability!$R$5:$R$342),"na")</f>
        <v/>
      </c>
      <c r="T298" s="8" t="inlineStr">
        <is>
          <t>Public</t>
        </is>
      </c>
      <c r="U298" s="8" t="inlineStr">
        <is>
          <t>Australia</t>
        </is>
      </c>
      <c r="V298" s="9" t="n">
        <v>2010</v>
      </c>
      <c r="W298" s="10" t="n">
        <v>700</v>
      </c>
      <c r="X298" s="11" t="n">
        <v>1209.27099999999</v>
      </c>
      <c r="Y298" s="8" t="inlineStr">
        <is>
          <t>Pacific</t>
        </is>
      </c>
      <c r="Z298" s="8" t="inlineStr">
        <is>
          <t>New South Wales (NSW)</t>
        </is>
      </c>
      <c r="AA298" s="11" t="n">
        <v>6035.10081280169</v>
      </c>
      <c r="AB298" s="8" t="inlineStr">
        <is>
          <t>MA Financial Group Ltd. operates as a diversified financial services group. It operates through the following segments: Corporate Advisory and Equities, Asset Management, and Lending and Technology. The Corporate Advisory and Equities segment provides strategic and financial advice and equity capital markets services to sophisticated and corporate clients; and offers research, sales and trading execution services to institutional and high net worth clients. The Asset Management segment delivers investment management services to domestic and foreign high net worth and institutional investors. The company was founded in 2009 and is headquartered in Sydney, Australia.</t>
        </is>
      </c>
      <c r="AC298" s="8" t="inlineStr">
        <is>
          <t>Asset Management and Financial Advisory Services</t>
        </is>
      </c>
      <c r="AD298" s="8" t="inlineStr">
        <is>
          <t>Investment Services</t>
        </is>
      </c>
      <c r="AE298" s="8" t="inlineStr">
        <is>
          <t>Investment Services</t>
        </is>
      </c>
      <c r="AF298" s="12" t="inlineStr">
        <is>
          <t>Institutional and High-Net Advisory Services</t>
        </is>
      </c>
      <c r="AR298" t="n">
        <v>0.03456</v>
      </c>
    </row>
    <row r="299" ht="15" customHeight="1">
      <c r="A299" s="8" t="inlineStr">
        <is>
          <t>PPM-AU</t>
        </is>
      </c>
      <c r="B299" s="8" t="inlineStr">
        <is>
          <t>Pepper Money Ltd.</t>
        </is>
      </c>
      <c r="C299" s="8" t="n"/>
      <c r="D299" s="8" t="n"/>
      <c r="E299" s="8" t="n"/>
      <c r="F299" s="8" t="n"/>
      <c r="G299" s="8" t="n"/>
      <c r="H299" s="8" t="n"/>
      <c r="I299" s="8" t="n"/>
      <c r="J299" s="8" t="n"/>
      <c r="K299" s="8" t="n"/>
      <c r="L299" s="8" t="n"/>
      <c r="M299" s="8" t="n"/>
      <c r="N299" s="17" t="n"/>
      <c r="O299" s="17" t="n"/>
      <c r="P299" s="17" t="n"/>
      <c r="Q299" s="17" t="n"/>
      <c r="R299" s="10">
        <f>IFERROR(_xlfn.XLOOKUP($A299,Profitability!$A$5:$A$342,Profitability!$Q$5:$Q$342),"na")</f>
        <v/>
      </c>
      <c r="S299" s="10">
        <f>IFERROR(_xlfn.XLOOKUP($A299,Profitability!$A$5:$A$342,Profitability!$R$5:$R$342),"na")</f>
        <v/>
      </c>
      <c r="T299" s="8" t="inlineStr">
        <is>
          <t>Public</t>
        </is>
      </c>
      <c r="U299" s="8" t="inlineStr">
        <is>
          <t>Australia</t>
        </is>
      </c>
      <c r="V299" s="9" t="n">
        <v>2000</v>
      </c>
      <c r="W299" s="10" t="n">
        <v>795</v>
      </c>
      <c r="X299" s="11" t="n">
        <v>1580.1</v>
      </c>
      <c r="Y299" s="8" t="inlineStr">
        <is>
          <t>Pacific</t>
        </is>
      </c>
      <c r="Z299" s="8" t="inlineStr">
        <is>
          <t>New South Wales (NSW)</t>
        </is>
      </c>
      <c r="AA299" s="11" t="n">
        <v>17472.3994580366</v>
      </c>
      <c r="AB299" s="8" t="inlineStr">
        <is>
          <t>Pepper Money Ltd. engages in the provision of home loan, car loan, and personal loan solutions for borrowers. It operates through the following business segments: Mortgages, Asset Finance and Loan, and Other Servicing. The Mortgages segment includes both residential mortgages in Australia and New Zealand. The Asset Finance and Loan segment comprises of the the income and expenses associated with the origination and ongoing ownership of loans secured over a range of assets, including used and new cars, caravans, motor bikes and boats, and equipment finance. The Loan and Other Servicing segment consists of the income and expenses associated with the servicing of loan portfolios for third parties, and for pepper money controlled limited recourse funding vehicles. Its services include lending, asset finance, third party servicing, debt investor, and broker portal. Pepper Money was founded by Michael Culhane on August 30, 2000 and is headquartered in North Sydney, Australia.</t>
        </is>
      </c>
      <c r="AC299" s="8" t="inlineStr">
        <is>
          <t>Mortgage Banking</t>
        </is>
      </c>
      <c r="AD299" s="8" t="inlineStr">
        <is>
          <t>Mortgage Banking</t>
        </is>
      </c>
      <c r="AE299" s="8" t="inlineStr">
        <is>
          <t>Banking</t>
        </is>
      </c>
      <c r="AF299" s="12" t="inlineStr">
        <is>
          <t>Other Mortgage Banking Services</t>
        </is>
      </c>
      <c r="AR299" t="n">
        <v>0.062528</v>
      </c>
    </row>
    <row r="300" ht="15" customHeight="1">
      <c r="A300" s="8" t="inlineStr">
        <is>
          <t>TLX-AU</t>
        </is>
      </c>
      <c r="B300" s="8" t="inlineStr">
        <is>
          <t>Telix Pharmaceuticals Ltd.</t>
        </is>
      </c>
      <c r="C300" s="8" t="n"/>
      <c r="D300" s="8" t="n"/>
      <c r="E300" s="8" t="n"/>
      <c r="F300" s="8" t="n"/>
      <c r="G300" s="8" t="n"/>
      <c r="H300" s="8" t="n"/>
      <c r="I300" s="8" t="n"/>
      <c r="J300" s="8" t="n"/>
      <c r="K300" s="8" t="n"/>
      <c r="L300" s="8" t="n"/>
      <c r="M300" s="8" t="n"/>
      <c r="N300" s="17" t="n"/>
      <c r="O300" s="17" t="n"/>
      <c r="P300" s="17" t="n"/>
      <c r="Q300" s="17" t="n"/>
      <c r="R300" s="10">
        <f>IFERROR(_xlfn.XLOOKUP($A300,Profitability!$A$5:$A$342,Profitability!$Q$5:$Q$342),"na")</f>
        <v/>
      </c>
      <c r="S300" s="10">
        <f>IFERROR(_xlfn.XLOOKUP($A300,Profitability!$A$5:$A$342,Profitability!$R$5:$R$342),"na")</f>
        <v/>
      </c>
      <c r="T300" s="8" t="inlineStr">
        <is>
          <t>Public</t>
        </is>
      </c>
      <c r="U300" s="8" t="inlineStr">
        <is>
          <t>Australia</t>
        </is>
      </c>
      <c r="V300" s="9" t="n">
        <v>2017</v>
      </c>
      <c r="W300" s="10" t="inlineStr">
        <is>
          <t>-</t>
        </is>
      </c>
      <c r="X300" s="11" t="n">
        <v>783.206999999999</v>
      </c>
      <c r="Y300" s="8" t="inlineStr">
        <is>
          <t>Pacific</t>
        </is>
      </c>
      <c r="Z300" s="8" t="inlineStr">
        <is>
          <t>Victoria (VIC)</t>
        </is>
      </c>
      <c r="AA300" s="11" t="n">
        <v>1526.19395266012</v>
      </c>
      <c r="AB300" s="8" t="inlineStr">
        <is>
          <t>Telix Pharmaceuticals Limited. engages in the development and commercialization of several clinical-stage oncology assets. It operates through the following segments: Commercial, Product Development, and Group and Unallocated. The Commercial segment includes sales of Illuccix and other products subsequent to obtaining regulatory approvals. The Product Development segment develops radiopharmaceutical products for commercialization. It focuses on cancer care, specifically in prostate, renal or kidney and glioblastoma or brain cancer. Its products include TLX250, TLX591, and TLX101. The company was founded by Andreas Kluge and Christian P. Behrenbruch in November 2015 and is headquartered in Melbourne, Australia.</t>
        </is>
      </c>
      <c r="AC300" s="8" t="inlineStr">
        <is>
          <t>Specialized Medical Devices</t>
        </is>
      </c>
      <c r="AD300" s="8" t="inlineStr">
        <is>
          <t>Other Medical Devices</t>
        </is>
      </c>
      <c r="AE300" s="8" t="inlineStr">
        <is>
          <t>Healthcare Equipment</t>
        </is>
      </c>
      <c r="AF300" s="12" t="inlineStr">
        <is>
          <t>Other Specialized Medical Devices</t>
        </is>
      </c>
      <c r="AQ300" t="n">
        <v>0</v>
      </c>
      <c r="AR300" t="n">
        <v>0.063737</v>
      </c>
      <c r="AS300" t="n">
        <v>0</v>
      </c>
    </row>
    <row r="301" ht="15" customHeight="1">
      <c r="A301" s="8" t="inlineStr">
        <is>
          <t>NTD-AU</t>
        </is>
      </c>
      <c r="B301" s="8" t="inlineStr">
        <is>
          <t>NTAW Holdings Ltd.</t>
        </is>
      </c>
      <c r="C301" s="8" t="n"/>
      <c r="D301" s="8" t="n"/>
      <c r="E301" s="8" t="n"/>
      <c r="F301" s="8" t="n"/>
      <c r="G301" s="8" t="n"/>
      <c r="H301" s="8" t="n"/>
      <c r="I301" s="8" t="n"/>
      <c r="J301" s="8" t="n"/>
      <c r="K301" s="8" t="n"/>
      <c r="L301" s="8" t="n"/>
      <c r="M301" s="8" t="n"/>
      <c r="N301" s="17" t="n"/>
      <c r="O301" s="17" t="n"/>
      <c r="P301" s="17" t="n"/>
      <c r="Q301" s="17" t="n"/>
      <c r="R301" s="10">
        <f>IFERROR(_xlfn.XLOOKUP($A301,Profitability!$A$5:$A$342,Profitability!$Q$5:$Q$342),"na")</f>
        <v/>
      </c>
      <c r="S301" s="10">
        <f>IFERROR(_xlfn.XLOOKUP($A301,Profitability!$A$5:$A$342,Profitability!$R$5:$R$342),"na")</f>
        <v/>
      </c>
      <c r="T301" s="8" t="inlineStr">
        <is>
          <t>Public</t>
        </is>
      </c>
      <c r="U301" s="8" t="inlineStr">
        <is>
          <t>Australia</t>
        </is>
      </c>
      <c r="V301" s="9" t="n">
        <v>2001</v>
      </c>
      <c r="W301" s="10" t="inlineStr">
        <is>
          <t>-</t>
        </is>
      </c>
      <c r="X301" s="11" t="n">
        <v>538.152999999999</v>
      </c>
      <c r="Y301" s="8" t="inlineStr">
        <is>
          <t>Pacific</t>
        </is>
      </c>
      <c r="Z301" s="8" t="inlineStr">
        <is>
          <t>Queensland (QLD)</t>
        </is>
      </c>
      <c r="AA301" s="11" t="n">
        <v>354.098008727282</v>
      </c>
      <c r="AB301" s="8" t="inlineStr">
        <is>
          <t>NTAW Holdings Ltd. is a tyre and wheel wholesaler carrying on business through subsidiaries and controlled entities in Australia, New Zealand, and South Africa. The company was founded by Terence Smith and Susanne Smith in 1989 and is headquartered in Moorooka, Australia.</t>
        </is>
      </c>
      <c r="AC301" s="8" t="inlineStr">
        <is>
          <t>Motor Vehicles and Parts Sales and Rental</t>
        </is>
      </c>
      <c r="AD301" s="8" t="inlineStr">
        <is>
          <t>Auto Retail</t>
        </is>
      </c>
      <c r="AE301" s="8" t="inlineStr">
        <is>
          <t>Miscellaneous Retail</t>
        </is>
      </c>
      <c r="AF301" s="12" t="inlineStr">
        <is>
          <t>Automotive Parts, Accessories and Tires Sales</t>
        </is>
      </c>
      <c r="AR301" t="n">
        <v>-0.081313</v>
      </c>
    </row>
    <row r="302" ht="15" customHeight="1">
      <c r="A302" s="8" t="inlineStr">
        <is>
          <t>PPE-AU</t>
        </is>
      </c>
      <c r="B302" s="8" t="inlineStr">
        <is>
          <t>PeopleIn Ltd.</t>
        </is>
      </c>
      <c r="C302" s="8" t="n"/>
      <c r="D302" s="8" t="n"/>
      <c r="E302" s="8" t="n"/>
      <c r="F302" s="8" t="n"/>
      <c r="G302" s="8" t="n"/>
      <c r="H302" s="8" t="n"/>
      <c r="I302" s="8" t="n"/>
      <c r="J302" s="8" t="n"/>
      <c r="K302" s="8" t="n"/>
      <c r="L302" s="8" t="n"/>
      <c r="M302" s="8" t="n"/>
      <c r="N302" s="17" t="n"/>
      <c r="O302" s="17" t="n"/>
      <c r="P302" s="17" t="n"/>
      <c r="Q302" s="17" t="n"/>
      <c r="R302" s="10">
        <f>IFERROR(_xlfn.XLOOKUP($A302,Profitability!$A$5:$A$342,Profitability!$Q$5:$Q$342),"na")</f>
        <v/>
      </c>
      <c r="S302" s="10">
        <f>IFERROR(_xlfn.XLOOKUP($A302,Profitability!$A$5:$A$342,Profitability!$R$5:$R$342),"na")</f>
        <v/>
      </c>
      <c r="T302" s="8" t="inlineStr">
        <is>
          <t>Public</t>
        </is>
      </c>
      <c r="U302" s="8" t="inlineStr">
        <is>
          <t>Australia</t>
        </is>
      </c>
      <c r="V302" s="9" t="n">
        <v>2016</v>
      </c>
      <c r="W302" s="10" t="inlineStr">
        <is>
          <t>-</t>
        </is>
      </c>
      <c r="X302" s="11" t="n">
        <v>1098.00799999999</v>
      </c>
      <c r="Y302" s="8" t="inlineStr">
        <is>
          <t>Pacific</t>
        </is>
      </c>
      <c r="Z302" s="8" t="inlineStr">
        <is>
          <t>Queensland (QLD)</t>
        </is>
      </c>
      <c r="AA302" s="11" t="n">
        <v>367.271009051951</v>
      </c>
      <c r="AB302" s="8" t="inlineStr">
        <is>
          <t>PeopleIn Ltd. engages in the provision of staffing, and business and operational services. It operates through the following segments: Industrial and Specialist Services, Health and Community, and Professional Services. The company was founded by Declan Sherman and Thomas Reardon in October 1996 and is headquartered in Fortitude Valley, Australia.</t>
        </is>
      </c>
      <c r="AC302" s="8" t="inlineStr">
        <is>
          <t>Administrative Services</t>
        </is>
      </c>
      <c r="AD302" s="8" t="inlineStr">
        <is>
          <t>Other Professional Services</t>
        </is>
      </c>
      <c r="AE302" s="8" t="inlineStr">
        <is>
          <t>Business Services</t>
        </is>
      </c>
      <c r="AF302" s="12" t="inlineStr">
        <is>
          <t>Administrative Employment Services</t>
        </is>
      </c>
      <c r="AR302" t="n">
        <v>-0.011625</v>
      </c>
    </row>
    <row r="303" ht="15" customHeight="1">
      <c r="A303" s="8" t="inlineStr">
        <is>
          <t>WGN-AU</t>
        </is>
      </c>
      <c r="B303" s="8" t="inlineStr">
        <is>
          <t>Wagners Holding Co. Ltd.</t>
        </is>
      </c>
      <c r="C303" s="8" t="n"/>
      <c r="D303" s="8" t="n"/>
      <c r="E303" s="8" t="n"/>
      <c r="F303" s="8" t="n"/>
      <c r="G303" s="8" t="n"/>
      <c r="H303" s="8" t="n"/>
      <c r="I303" s="8" t="n"/>
      <c r="J303" s="8" t="n"/>
      <c r="K303" s="8" t="n"/>
      <c r="L303" s="8" t="n"/>
      <c r="M303" s="8" t="n"/>
      <c r="N303" s="17" t="n"/>
      <c r="O303" s="17" t="n"/>
      <c r="P303" s="17" t="n"/>
      <c r="Q303" s="17" t="n"/>
      <c r="R303" s="10">
        <f>IFERROR(_xlfn.XLOOKUP($A303,Profitability!$A$5:$A$342,Profitability!$Q$5:$Q$342),"na")</f>
        <v/>
      </c>
      <c r="S303" s="10">
        <f>IFERROR(_xlfn.XLOOKUP($A303,Profitability!$A$5:$A$342,Profitability!$R$5:$R$342),"na")</f>
        <v/>
      </c>
      <c r="T303" s="8" t="inlineStr">
        <is>
          <t>Public</t>
        </is>
      </c>
      <c r="U303" s="8" t="inlineStr">
        <is>
          <t>Australia</t>
        </is>
      </c>
      <c r="V303" s="9" t="n">
        <v>2017</v>
      </c>
      <c r="W303" s="10" t="inlineStr">
        <is>
          <t>-</t>
        </is>
      </c>
      <c r="X303" s="11" t="n">
        <v>431.267999999999</v>
      </c>
      <c r="Y303" s="8" t="inlineStr">
        <is>
          <t>Pacific</t>
        </is>
      </c>
      <c r="Z303" s="8" t="inlineStr">
        <is>
          <t>Queensland (QLD)</t>
        </is>
      </c>
      <c r="AA303" s="11" t="n">
        <v>459.726011330645</v>
      </c>
      <c r="AB303" s="8" t="inlineStr">
        <is>
          <t>Wagners Holding Co. Ltd. engages in the provision of manufacture and sale of construction materials. It operates through the following segments: Construction Materials, Project Services, Composite Fibre Technology, and Earth Friendly Concrete. The Construction Materials segment supplies a range of construction materials predominantly to customers in the construction, infrastructure, and resources industries. The Project Services segment includes mobile concrete, crushing and haulage services, and are typically provided via medium to long-term contracts both domestically and internationally. The Composite Fibre Technology segment provides an innovative and environmentally sustainable new generation of building material, Composite Fibre Technology. The Earth Friendly Concrete segment refers to the innovative and environmentally sustainable new generation of building material, Earth Friendly Concrete technology. The company was founded by Henry Wagner, John Wagner, Denis Wagner, Neill Wagner, and Joseph Wagner in 1989 and is headquartered in Wellcamp, Australia.</t>
        </is>
      </c>
      <c r="AC303" s="8" t="inlineStr">
        <is>
          <t>Heavy Building Material and Aggregate Products</t>
        </is>
      </c>
      <c r="AD303" s="8" t="inlineStr">
        <is>
          <t>Construction Materials</t>
        </is>
      </c>
      <c r="AE303" s="8" t="inlineStr">
        <is>
          <t>Mining and Mineral Products</t>
        </is>
      </c>
      <c r="AF303" s="12" t="inlineStr">
        <is>
          <t>Asphalt, Cement and Concrete Products</t>
        </is>
      </c>
      <c r="AR303" t="n">
        <v>0.052673</v>
      </c>
    </row>
    <row r="304" ht="15" customHeight="1">
      <c r="A304" s="8" t="inlineStr">
        <is>
          <t>LFS-AU</t>
        </is>
      </c>
      <c r="B304" s="8" t="inlineStr">
        <is>
          <t>Latitude Group Holdings Ltd.</t>
        </is>
      </c>
      <c r="C304" s="8" t="n"/>
      <c r="D304" s="8" t="n"/>
      <c r="E304" s="8" t="n"/>
      <c r="F304" s="8" t="n"/>
      <c r="G304" s="8" t="n"/>
      <c r="H304" s="8" t="n"/>
      <c r="I304" s="8" t="n"/>
      <c r="J304" s="8" t="n"/>
      <c r="K304" s="8" t="n"/>
      <c r="L304" s="8" t="n"/>
      <c r="M304" s="8" t="n"/>
      <c r="N304" s="17" t="n"/>
      <c r="O304" s="17" t="n"/>
      <c r="P304" s="17" t="n"/>
      <c r="Q304" s="17" t="n"/>
      <c r="R304" s="10">
        <f>IFERROR(_xlfn.XLOOKUP($A304,Profitability!$A$5:$A$342,Profitability!$Q$5:$Q$342),"na")</f>
        <v/>
      </c>
      <c r="S304" s="10">
        <f>IFERROR(_xlfn.XLOOKUP($A304,Profitability!$A$5:$A$342,Profitability!$R$5:$R$342),"na")</f>
        <v/>
      </c>
      <c r="T304" s="8" t="inlineStr">
        <is>
          <t>Public</t>
        </is>
      </c>
      <c r="U304" s="8" t="inlineStr">
        <is>
          <t>Australia</t>
        </is>
      </c>
      <c r="V304" s="9" t="n">
        <v>2015</v>
      </c>
      <c r="W304" s="10" t="inlineStr">
        <is>
          <t>-</t>
        </is>
      </c>
      <c r="X304" s="11" t="n">
        <v>1115.2</v>
      </c>
      <c r="Y304" s="8" t="inlineStr">
        <is>
          <t>Pacific</t>
        </is>
      </c>
      <c r="Z304" s="8" t="inlineStr">
        <is>
          <t>Victoria (VIC)</t>
        </is>
      </c>
      <c r="AA304" s="11" t="n">
        <v>7882.79975548928</v>
      </c>
      <c r="AB304" s="8" t="inlineStr">
        <is>
          <t>Latitude Group Holdings Ltd. engages in the installment and lending business. It operates through the following segment: Australia, New Zealand, and Other/Unallocated. The Australia segment includes LatitudePay and other payments and instalments products, LMoney including credit cards, personal loans and motor loans, inclusive of Symple Loans. The New Zealand segment focuses on Genoapay and other payments and instalments products, credit cards, and personal loans. The Other/Unallocated segment consists of consumer credit insurance, international operations, other statutory adjustments. The company was founded in 1925 and is headquartered in Docklands, Australia.</t>
        </is>
      </c>
      <c r="AC304" s="8" t="inlineStr">
        <is>
          <t>Consumer Finance Services</t>
        </is>
      </c>
      <c r="AD304" s="8" t="inlineStr">
        <is>
          <t>Specialty Finance</t>
        </is>
      </c>
      <c r="AE304" s="8" t="inlineStr">
        <is>
          <t>Specialty Finance and Services</t>
        </is>
      </c>
      <c r="AF304" s="12" t="inlineStr">
        <is>
          <t>General Consumer Finance Services</t>
        </is>
      </c>
      <c r="AR304" t="n">
        <v>0.027439</v>
      </c>
    </row>
    <row r="305" ht="15" customHeight="1">
      <c r="A305" s="8" t="inlineStr">
        <is>
          <t>VEA-AU</t>
        </is>
      </c>
      <c r="B305" s="8" t="inlineStr">
        <is>
          <t>Viva Energy Group Ltd.</t>
        </is>
      </c>
      <c r="C305" s="8" t="n"/>
      <c r="D305" s="8" t="n"/>
      <c r="E305" s="8" t="n"/>
      <c r="F305" s="8" t="n"/>
      <c r="G305" s="8" t="n"/>
      <c r="H305" s="8" t="n"/>
      <c r="I305" s="8" t="n"/>
      <c r="J305" s="8" t="n"/>
      <c r="K305" s="8" t="n"/>
      <c r="L305" s="8" t="n"/>
      <c r="M305" s="8" t="n"/>
      <c r="N305" s="17" t="n"/>
      <c r="O305" s="17" t="n"/>
      <c r="P305" s="10" t="n">
        <v>1073592</v>
      </c>
      <c r="Q305" s="10" t="n">
        <v>323815</v>
      </c>
      <c r="R305" s="10">
        <f>IFERROR(_xlfn.XLOOKUP($A305,Profitability!$A$5:$A$342,Profitability!$Q$5:$Q$342),"na")</f>
        <v/>
      </c>
      <c r="S305" s="10">
        <f>IFERROR(_xlfn.XLOOKUP($A305,Profitability!$A$5:$A$342,Profitability!$R$5:$R$342),"na")</f>
        <v/>
      </c>
      <c r="T305" s="8" t="inlineStr">
        <is>
          <t>Public</t>
        </is>
      </c>
      <c r="U305" s="8" t="inlineStr">
        <is>
          <t>Australia</t>
        </is>
      </c>
      <c r="V305" s="9" t="n">
        <v>2018</v>
      </c>
      <c r="W305" s="10" t="n">
        <v>15000</v>
      </c>
      <c r="X305" s="11" t="n">
        <v>30142</v>
      </c>
      <c r="Y305" s="8" t="inlineStr">
        <is>
          <t>Pacific</t>
        </is>
      </c>
      <c r="Z305" s="8" t="inlineStr">
        <is>
          <t>Victoria (VIC)</t>
        </is>
      </c>
      <c r="AA305" s="11" t="n">
        <v>12125.2996238943</v>
      </c>
      <c r="AB305" s="8" t="inlineStr">
        <is>
          <t>Viva Energy Group Ltd. engages in the manufacture, distribution, and sale of petroleum products. It operates through the following segments: Retail, Fuels, and Marketing, Refining, and Supply, Corporate, and Overheads. The Retail, Fuels, and Marketing segment involves the merchandise and commercial operation of fuel products. The Refining segment converts imported and locally sourced crude oil into petroleum products including gasoline, diesel, jet fuel, aviation gasoline, gas, solvents, bitumen, and other specialty products. The Supply, Corporate, and Overheads segment relates to contracting access to a national infrastructure network consisting of import terminals, storage tanks, depots, and pipelines. The firm specializes in the aviation, marine, mining, transport, and commercial fleet industries. The company was founded on June 7, 2018 and is headquartered in Docklands, Australia.</t>
        </is>
      </c>
      <c r="AC305" s="8" t="inlineStr">
        <is>
          <t>LPG, Propane and Other Distributors</t>
        </is>
      </c>
      <c r="AD305" s="8" t="inlineStr">
        <is>
          <t>Downstream Energy</t>
        </is>
      </c>
      <c r="AE305" s="8" t="inlineStr">
        <is>
          <t>Downstream and Midstream Energy</t>
        </is>
      </c>
      <c r="AF305" s="12" t="inlineStr">
        <is>
          <t>Other Petroleum Products</t>
        </is>
      </c>
      <c r="AH305" t="n">
        <v>997508</v>
      </c>
      <c r="AI305" t="n">
        <v>1</v>
      </c>
      <c r="AJ305" t="inlineStr">
        <is>
          <t>1,299,1832",7.20,46%,85%
Scope 1 + Scope 2 Total GHG emissions,Total Recordable Injury Frequency Rate,Female representation in our Senior,of our second RAP
,,Leadership Team (Target: 40%),deliverables completed</t>
        </is>
      </c>
      <c r="AK305" t="n">
        <v>301675</v>
      </c>
      <c r="AL305" t="n">
        <v>1</v>
      </c>
      <c r="AM305" t="inlineStr">
        <is>
          <t>,,via renewable power procurement.,Certificates	(LGCs)	to	cover	the	annual	LGC	obligation	under
tCO2e (’000),,,the	Renewable	Energy	Target.	It	also	has	the	potential	to
,,Following	the	Coles	Express	acquisition	(which	allowed	us,meet a substantial proportion of our net zero Scope 2</t>
        </is>
      </c>
      <c r="AN305" t="n">
        <v>45672353</v>
      </c>
      <c r="AO305" t="n">
        <v>1</v>
      </c>
      <c r="AP305" t="inlineStr">
        <is>
          <t>,,via renewable power procurement.,Certificates	(LGCs)	to	cover	the	annual	LGC	obligation	under
tCO2e (’000),,,the	Renewable	Energy	Target.	It	also	has	the	potential	to
,,Following	the	Coles	Express	acquisition	(which	allowed	us,meet a substantial proportion of our net zero Scope 2</t>
        </is>
      </c>
      <c r="AQ305" t="n">
        <v>23</v>
      </c>
      <c r="AR305" t="n">
        <v>-0.002531</v>
      </c>
      <c r="AS305" t="n">
        <v>0.000763</v>
      </c>
    </row>
    <row r="306" ht="15" customHeight="1">
      <c r="A306" s="8" t="inlineStr">
        <is>
          <t>JDO-AU</t>
        </is>
      </c>
      <c r="B306" s="8" t="inlineStr">
        <is>
          <t>Judo Capital Holdings Ltd.</t>
        </is>
      </c>
      <c r="C306" s="8" t="n"/>
      <c r="D306" s="8" t="n"/>
      <c r="E306" s="8" t="n"/>
      <c r="F306" s="8" t="n"/>
      <c r="G306" s="8" t="n"/>
      <c r="H306" s="8" t="n"/>
      <c r="I306" s="8" t="n"/>
      <c r="J306" s="8" t="n"/>
      <c r="K306" s="8" t="n"/>
      <c r="L306" s="8" t="n"/>
      <c r="M306" s="8" t="n"/>
      <c r="N306" s="17" t="n"/>
      <c r="O306" s="17" t="n"/>
      <c r="P306" s="17" t="n"/>
      <c r="Q306" s="17" t="n"/>
      <c r="R306" s="10">
        <f>IFERROR(_xlfn.XLOOKUP($A306,Profitability!$A$5:$A$342,Profitability!$Q$5:$Q$342),"na")</f>
        <v/>
      </c>
      <c r="S306" s="10">
        <f>IFERROR(_xlfn.XLOOKUP($A306,Profitability!$A$5:$A$342,Profitability!$R$5:$R$342),"na")</f>
        <v/>
      </c>
      <c r="T306" s="8" t="inlineStr">
        <is>
          <t>Public</t>
        </is>
      </c>
      <c r="U306" s="8" t="inlineStr">
        <is>
          <t>Australia</t>
        </is>
      </c>
      <c r="V306" s="9" t="n">
        <v>2016</v>
      </c>
      <c r="W306" s="10" t="n">
        <v>557</v>
      </c>
      <c r="X306" s="11" t="n">
        <v>1075.49999999999</v>
      </c>
      <c r="Y306" s="8" t="inlineStr">
        <is>
          <t>Pacific</t>
        </is>
      </c>
      <c r="Z306" s="8" t="inlineStr">
        <is>
          <t>Victoria (VIC)</t>
        </is>
      </c>
      <c r="AA306" s="11" t="n">
        <v>14991.7003694932</v>
      </c>
      <c r="AB306" s="8" t="inlineStr">
        <is>
          <t>Judo Capital Holdings Ltd. provides financial services to small and medium enterprises. Its services include business loans, home loans, term deposits, lines of credit and residential mortgages. The company was founded by Christopher James Bayliss, Joseph Cornelius Healy and David Stephenson Hornery in 2015 and is headquartered in Melbourne, Australia.</t>
        </is>
      </c>
      <c r="AC306" s="8" t="inlineStr">
        <is>
          <t>Commercial Finance Services</t>
        </is>
      </c>
      <c r="AD306" s="8" t="inlineStr">
        <is>
          <t>Specialty Finance</t>
        </is>
      </c>
      <c r="AE306" s="8" t="inlineStr">
        <is>
          <t>Specialty Finance and Services</t>
        </is>
      </c>
      <c r="AF306" s="12" t="inlineStr">
        <is>
          <t>Diversified Loan Services</t>
        </is>
      </c>
      <c r="AR306" t="n">
        <v>0.080335</v>
      </c>
    </row>
    <row r="307" ht="15" customHeight="1">
      <c r="A307" s="8" t="inlineStr">
        <is>
          <t>QRI-AU</t>
        </is>
      </c>
      <c r="B307" s="8" t="inlineStr">
        <is>
          <t>Qualitas Real Estate Income Fund</t>
        </is>
      </c>
      <c r="C307" s="8" t="n"/>
      <c r="D307" s="8" t="n"/>
      <c r="E307" s="8" t="n"/>
      <c r="F307" s="8" t="n"/>
      <c r="G307" s="8" t="n"/>
      <c r="H307" s="8" t="n"/>
      <c r="I307" s="8" t="n"/>
      <c r="J307" s="8" t="n"/>
      <c r="K307" s="8" t="n"/>
      <c r="L307" s="8" t="n"/>
      <c r="M307" s="8" t="n"/>
      <c r="N307" s="17" t="n"/>
      <c r="O307" s="17" t="n"/>
      <c r="P307" s="17" t="n"/>
      <c r="Q307" s="17" t="n"/>
      <c r="R307" s="10">
        <f>IFERROR(_xlfn.XLOOKUP($A307,Profitability!$A$5:$A$342,Profitability!$Q$5:$Q$342),"na")</f>
        <v/>
      </c>
      <c r="S307" s="10">
        <f>IFERROR(_xlfn.XLOOKUP($A307,Profitability!$A$5:$A$342,Profitability!$R$5:$R$342),"na")</f>
        <v/>
      </c>
      <c r="T307" s="8" t="inlineStr">
        <is>
          <t>Public</t>
        </is>
      </c>
      <c r="U307" s="8" t="inlineStr">
        <is>
          <t>Australia</t>
        </is>
      </c>
      <c r="V307" s="9" t="n">
        <v>2018</v>
      </c>
      <c r="W307" s="10" t="inlineStr">
        <is>
          <t>-</t>
        </is>
      </c>
      <c r="X307" s="11" t="n">
        <v>79.535</v>
      </c>
      <c r="Y307" s="8" t="inlineStr">
        <is>
          <t>Pacific</t>
        </is>
      </c>
      <c r="Z307" s="8" t="inlineStr">
        <is>
          <t>Victoria (VIC)</t>
        </is>
      </c>
      <c r="AA307" s="11" t="n">
        <v>983.2440242335419</v>
      </c>
      <c r="AB307" s="8" t="inlineStr">
        <is>
          <t>Qualitas Real Estate Income Fund engages in the provision of monthly income and capital preservation. It seeks to invest in a portfolio of investments that offers exposure to real estate loans secured by first and second mortgages. The company was founded by Andrew Schwartz in 2008, and is headquartered in Melbourne, Australia.</t>
        </is>
      </c>
      <c r="AC307" s="8" t="inlineStr">
        <is>
          <t>Mortgage REITs</t>
        </is>
      </c>
      <c r="AD307" s="8" t="inlineStr">
        <is>
          <t>Real Estate Investment Trusts (REITs)</t>
        </is>
      </c>
      <c r="AE307" s="8" t="inlineStr">
        <is>
          <t>Real Estate</t>
        </is>
      </c>
      <c r="AF307" s="12" t="inlineStr">
        <is>
          <t>Mortgage REITs</t>
        </is>
      </c>
      <c r="AR307" t="n">
        <v>0.840737</v>
      </c>
    </row>
    <row r="308" ht="15" customHeight="1">
      <c r="A308" s="8" t="inlineStr">
        <is>
          <t>0K17S2-E</t>
        </is>
      </c>
      <c r="B308" s="8" t="inlineStr">
        <is>
          <t>Coronado Global Resources, Inc.</t>
        </is>
      </c>
      <c r="C308" s="8" t="n"/>
      <c r="D308" s="8" t="n"/>
      <c r="E308" s="8" t="n"/>
      <c r="F308" s="8" t="n"/>
      <c r="G308" s="8" t="n"/>
      <c r="H308" s="8" t="n"/>
      <c r="I308" s="8" t="n"/>
      <c r="J308" s="8" t="n"/>
      <c r="K308" s="8" t="n"/>
      <c r="L308" s="8" t="n"/>
      <c r="M308" s="8" t="n"/>
      <c r="N308" s="17" t="n"/>
      <c r="O308" s="17" t="n"/>
      <c r="P308" s="17" t="n"/>
      <c r="Q308" s="17" t="n"/>
      <c r="R308" s="10">
        <f>IFERROR(_xlfn.XLOOKUP($A308,Profitability!$A$5:$A$342,Profitability!$Q$5:$Q$342),"na")</f>
        <v/>
      </c>
      <c r="S308" s="10">
        <f>IFERROR(_xlfn.XLOOKUP($A308,Profitability!$A$5:$A$342,Profitability!$R$5:$R$342),"na")</f>
        <v/>
      </c>
      <c r="T308" s="8" t="inlineStr">
        <is>
          <t>Public</t>
        </is>
      </c>
      <c r="U308" s="8" t="inlineStr">
        <is>
          <t>Australia</t>
        </is>
      </c>
      <c r="V308" s="9" t="n">
        <v>2018</v>
      </c>
      <c r="W308" s="10" t="n">
        <v>1951</v>
      </c>
      <c r="X308" s="11" t="n">
        <v>3801.87475921153</v>
      </c>
      <c r="Y308" s="8" t="inlineStr">
        <is>
          <t>Pacific</t>
        </is>
      </c>
      <c r="Z308" s="8" t="inlineStr">
        <is>
          <t>Queensland (QLD)</t>
        </is>
      </c>
      <c r="AA308" s="11" t="n">
        <v>4552.42509892594</v>
      </c>
      <c r="AB308" s="8" t="inlineStr">
        <is>
          <t>Coronado Global Resources, Inc. engages in the exploration and production of metallurgical coals. The firm has development projects in Queensland, Australia, and in Virginia, and West Virginia, United States. It operates through the Australia and United States geographical segments. The company was founded by Garold R. Spindler and James Campbell in 2011 and is headquartered in Brisbane, Australia.</t>
        </is>
      </c>
      <c r="AC308" s="8" t="inlineStr">
        <is>
          <t>Asia/Pacific International Coal Mining</t>
        </is>
      </c>
      <c r="AD308" s="8" t="inlineStr">
        <is>
          <t>Coal and Uranium Mining</t>
        </is>
      </c>
      <c r="AE308" s="8" t="inlineStr">
        <is>
          <t>Upstream Energy</t>
        </is>
      </c>
      <c r="AF308" s="12" t="inlineStr">
        <is>
          <t>Asia/Pacific International Coal Mining</t>
        </is>
      </c>
      <c r="AR308" t="n">
        <v>-0.043418</v>
      </c>
    </row>
    <row r="309" ht="15" customHeight="1">
      <c r="A309" s="8" t="inlineStr">
        <is>
          <t>EDV-AU</t>
        </is>
      </c>
      <c r="B309" s="8" t="inlineStr">
        <is>
          <t>Endeavour Group Ltd. (Australia)</t>
        </is>
      </c>
      <c r="C309" s="8" t="n"/>
      <c r="D309" s="8" t="n"/>
      <c r="E309" s="8" t="n"/>
      <c r="F309" s="8" t="n"/>
      <c r="G309" s="8" t="n"/>
      <c r="H309" s="8" t="n"/>
      <c r="I309" s="8" t="n"/>
      <c r="J309" s="8" t="n"/>
      <c r="K309" s="8" t="n"/>
      <c r="L309" s="8" t="n"/>
      <c r="M309" s="8" t="n"/>
      <c r="N309" s="17" t="n"/>
      <c r="O309" s="17" t="n"/>
      <c r="P309" s="10" t="n">
        <v>74007</v>
      </c>
      <c r="Q309" s="10" t="n">
        <v>289214</v>
      </c>
      <c r="R309" s="10">
        <f>IFERROR(_xlfn.XLOOKUP($A309,Profitability!$A$5:$A$342,Profitability!$Q$5:$Q$342),"na")</f>
        <v/>
      </c>
      <c r="S309" s="10">
        <f>IFERROR(_xlfn.XLOOKUP($A309,Profitability!$A$5:$A$342,Profitability!$R$5:$R$342),"na")</f>
        <v/>
      </c>
      <c r="T309" s="8" t="inlineStr">
        <is>
          <t>Public</t>
        </is>
      </c>
      <c r="U309" s="8" t="inlineStr">
        <is>
          <t>Australia</t>
        </is>
      </c>
      <c r="V309" s="9" t="n">
        <v>2012</v>
      </c>
      <c r="W309" s="10" t="n">
        <v>30000</v>
      </c>
      <c r="X309" s="11" t="n">
        <v>12057.9999999999</v>
      </c>
      <c r="Y309" s="8" t="inlineStr">
        <is>
          <t>Pacific</t>
        </is>
      </c>
      <c r="Z309" s="8" t="inlineStr">
        <is>
          <t>New South Wales (NSW)</t>
        </is>
      </c>
      <c r="AA309" s="11" t="n">
        <v>11734.0002892022</v>
      </c>
      <c r="AB309" s="8" t="inlineStr">
        <is>
          <t>Endeavour Group Ltd. engages in the retail drinks and hospitality business in Australia. The Retail or Endeavour Drinks business includes the brands Dan Murphy’s and BWS, which focus on liquor delivery in stores and online platforms. The Hotels business operates by the brand ALH Hotels, which is an on-premise venue operator, with a portfolio of licensed venues in capital cities and urban and regional centers. The company’s businesses are supported by the brands Pinnacle Drinks and EndeavourX. The Pinnacle Drinks houses the company’s product and services capabilities. Its portfolio of production and services assets include wineries, vineyards, wine brands and wine services, including Paragon Wine Estates, Dorrien Estate, and Vinpac. The EndeavourX brings together Endeavour Group’s digital and fulfilment capabilities and platforms, loyalty propositions, and oversees the trading operations of the group’s specialty and eCommerce businesses. The company was founded on August 13, 2012 and is headquartered in Surry Hills, Australia.</t>
        </is>
      </c>
      <c r="AC309" s="8" t="inlineStr">
        <is>
          <t>Beverage and Specialty Foods Stores</t>
        </is>
      </c>
      <c r="AD309" s="8" t="inlineStr">
        <is>
          <t>Food and Beverage Retail</t>
        </is>
      </c>
      <c r="AE309" s="8" t="inlineStr">
        <is>
          <t>Food and Staples Retail</t>
        </is>
      </c>
      <c r="AF309" s="12" t="inlineStr">
        <is>
          <t>Beverage and Specialty Foods Stores</t>
        </is>
      </c>
      <c r="AH309" t="n">
        <v>73555</v>
      </c>
      <c r="AI309" t="n">
        <v>1</v>
      </c>
      <c r="AJ309">
        <f>== Table 10 (page 74) ===
Appendix (continued),,</f>
        <v/>
      </c>
      <c r="AK309" t="n">
        <v>283044</v>
      </c>
      <c r="AL309" t="n">
        <v>1</v>
      </c>
      <c r="AM309" t="inlineStr">
        <is>
          <t>,Annual Report.,Electronic Shelf Labelling (ESL) has replaced paper
,,"ticketing in all 282 Dan Murphy’s stores nationally, saving"
2.  Development of preliminary roadmaps:,,</t>
        </is>
      </c>
      <c r="AN309" t="n">
        <v>56751</v>
      </c>
      <c r="AO309" t="n">
        <v>1</v>
      </c>
      <c r="AP309" t="inlineStr">
        <is>
          <t>305–2,Energy indirect (Scope 2) GHG emissions,"Page 56, 66"
305–3,Other indirect (Scope 3) GHG emissions,"Page 57, 66"
Waste,,</t>
        </is>
      </c>
      <c r="AQ309" t="n">
        <v>3</v>
      </c>
      <c r="AR309" t="n">
        <v>0.035331</v>
      </c>
      <c r="AS309" t="n">
        <v>0.000249</v>
      </c>
    </row>
    <row r="310" ht="15" customHeight="1">
      <c r="A310" s="8" t="inlineStr">
        <is>
          <t>MAD-AU</t>
        </is>
      </c>
      <c r="B310" s="8" t="inlineStr">
        <is>
          <t>Mader Group Ltd.</t>
        </is>
      </c>
      <c r="C310" s="8" t="n"/>
      <c r="D310" s="8" t="n"/>
      <c r="E310" s="8" t="n"/>
      <c r="F310" s="8" t="n"/>
      <c r="G310" s="8" t="n"/>
      <c r="H310" s="8" t="n"/>
      <c r="I310" s="8" t="n"/>
      <c r="J310" s="8" t="n"/>
      <c r="K310" s="8" t="n"/>
      <c r="L310" s="8" t="n"/>
      <c r="M310" s="8" t="n"/>
      <c r="N310" s="17" t="n"/>
      <c r="O310" s="17" t="n"/>
      <c r="P310" s="17" t="n"/>
      <c r="Q310" s="17" t="n"/>
      <c r="R310" s="10">
        <f>IFERROR(_xlfn.XLOOKUP($A310,Profitability!$A$5:$A$342,Profitability!$Q$5:$Q$342),"na")</f>
        <v/>
      </c>
      <c r="S310" s="10">
        <f>IFERROR(_xlfn.XLOOKUP($A310,Profitability!$A$5:$A$342,Profitability!$R$5:$R$342),"na")</f>
        <v/>
      </c>
      <c r="T310" s="8" t="inlineStr">
        <is>
          <t>Public</t>
        </is>
      </c>
      <c r="U310" s="8" t="inlineStr">
        <is>
          <t>Australia</t>
        </is>
      </c>
      <c r="V310" s="9" t="n">
        <v>2012</v>
      </c>
      <c r="W310" s="10" t="n">
        <v>3900</v>
      </c>
      <c r="X310" s="11" t="n">
        <v>872.201999999999</v>
      </c>
      <c r="Y310" s="8" t="inlineStr">
        <is>
          <t>Pacific</t>
        </is>
      </c>
      <c r="Z310" s="8" t="inlineStr">
        <is>
          <t>Western Australia (WA)</t>
        </is>
      </c>
      <c r="AA310" s="11" t="n">
        <v>346.988008552046</v>
      </c>
      <c r="AB310" s="8" t="inlineStr">
        <is>
          <t>Mader Group Ltd. is a maintenance services company. It provides specialized contract labour for maintenance of heavy mobile equipment in the resources industry. Its services include maintenance labour, field support, shutdown maintenance teams, maintenance workshops, training of maintenance teams, and a range of other ancillary services. The company was founded by Luke Mader in 2005 and is headquartered in Perth, Australia.</t>
        </is>
      </c>
      <c r="AC310" s="8" t="inlineStr">
        <is>
          <t>Infrastructure Construction/Contracting Services</t>
        </is>
      </c>
      <c r="AD310" s="8" t="inlineStr">
        <is>
          <t>Facilities and Construction Services</t>
        </is>
      </c>
      <c r="AE310" s="8" t="inlineStr">
        <is>
          <t>Industrial Services</t>
        </is>
      </c>
      <c r="AF310" s="12" t="inlineStr">
        <is>
          <t>Process Plants, Utilities and Energy Construction</t>
        </is>
      </c>
      <c r="AR310" t="n">
        <v>0.06551999999999999</v>
      </c>
    </row>
    <row r="311" ht="15" customHeight="1">
      <c r="A311" s="8" t="inlineStr">
        <is>
          <t>HMC-AU</t>
        </is>
      </c>
      <c r="B311" s="8" t="inlineStr">
        <is>
          <t>HMC Capital Ltd.</t>
        </is>
      </c>
      <c r="C311" s="8" t="n"/>
      <c r="D311" s="8" t="n"/>
      <c r="E311" s="8" t="n"/>
      <c r="F311" s="8" t="n"/>
      <c r="G311" s="8" t="n"/>
      <c r="H311" s="8" t="n"/>
      <c r="I311" s="8" t="n"/>
      <c r="J311" s="8" t="n"/>
      <c r="K311" s="8" t="n"/>
      <c r="L311" s="8" t="n"/>
      <c r="M311" s="8" t="n"/>
      <c r="N311" s="17" t="n"/>
      <c r="O311" s="17" t="n"/>
      <c r="P311" s="17" t="n"/>
      <c r="Q311" s="17" t="n"/>
      <c r="R311" s="10">
        <f>IFERROR(_xlfn.XLOOKUP($A311,Profitability!$A$5:$A$342,Profitability!$Q$5:$Q$342),"na")</f>
        <v/>
      </c>
      <c r="S311" s="10">
        <f>IFERROR(_xlfn.XLOOKUP($A311,Profitability!$A$5:$A$342,Profitability!$R$5:$R$342),"na")</f>
        <v/>
      </c>
      <c r="T311" s="8" t="inlineStr">
        <is>
          <t>Public</t>
        </is>
      </c>
      <c r="U311" s="8" t="inlineStr">
        <is>
          <t>Australia</t>
        </is>
      </c>
      <c r="V311" s="9" t="n">
        <v>2008</v>
      </c>
      <c r="W311" s="10" t="inlineStr">
        <is>
          <t>-</t>
        </is>
      </c>
      <c r="X311" s="11" t="n">
        <v>249.2</v>
      </c>
      <c r="Y311" s="8" t="inlineStr">
        <is>
          <t>Pacific</t>
        </is>
      </c>
      <c r="Z311" s="8" t="inlineStr">
        <is>
          <t>New South Wales (NSW)</t>
        </is>
      </c>
      <c r="AA311" s="11" t="n">
        <v>2180.60005374419</v>
      </c>
      <c r="AB311" s="8" t="inlineStr">
        <is>
          <t>HMC Capital Ltd. engages in the business of funds management through ownership and management of real asset focused funds. It operates through the following segments: Investments, Fund Management, and Corporate. The company was founded in 2008 and is headquartered in Double Bay, Australia.</t>
        </is>
      </c>
      <c r="AC311" s="8" t="inlineStr">
        <is>
          <t>Asset Management and Financial Advisory Services</t>
        </is>
      </c>
      <c r="AD311" s="8" t="inlineStr">
        <is>
          <t>Investment Services</t>
        </is>
      </c>
      <c r="AE311" s="8" t="inlineStr">
        <is>
          <t>Investment Services</t>
        </is>
      </c>
      <c r="AF311" s="12" t="inlineStr">
        <is>
          <t>Alternative Investment Managers</t>
        </is>
      </c>
      <c r="AH311" t="n">
        <v>61156</v>
      </c>
      <c r="AJ311" t="inlineStr">
        <is>
          <t>Total calculated from component entities (HMC: 882 + HDN: 20,409 + HCW: 2,317 + DGT: 37,548). Combined Scope 1 and 2 total. Total calculated from component entities (HMC: 882 + HDN: 20,409 + HCW: 2,317 + DGT: 37,548). Citation(s): [41-43]</t>
        </is>
      </c>
      <c r="AR311" t="n">
        <v>0.591091</v>
      </c>
    </row>
    <row r="312" ht="15" customHeight="1">
      <c r="A312" s="8" t="inlineStr">
        <is>
          <t>KKC-AU</t>
        </is>
      </c>
      <c r="B312" s="8" t="inlineStr">
        <is>
          <t>KKR Credit Income Fund</t>
        </is>
      </c>
      <c r="C312" s="8" t="n"/>
      <c r="D312" s="8" t="n"/>
      <c r="E312" s="8" t="n"/>
      <c r="F312" s="8" t="n"/>
      <c r="G312" s="8" t="n"/>
      <c r="H312" s="8" t="n"/>
      <c r="I312" s="8" t="n"/>
      <c r="J312" s="8" t="n"/>
      <c r="K312" s="8" t="n"/>
      <c r="L312" s="8" t="n"/>
      <c r="M312" s="8" t="n"/>
      <c r="N312" s="17" t="n"/>
      <c r="O312" s="17" t="n"/>
      <c r="P312" s="17" t="n"/>
      <c r="Q312" s="17" t="n"/>
      <c r="R312" s="10">
        <f>IFERROR(_xlfn.XLOOKUP($A312,Profitability!$A$5:$A$342,Profitability!$Q$5:$Q$342),"na")</f>
        <v/>
      </c>
      <c r="S312" s="10">
        <f>IFERROR(_xlfn.XLOOKUP($A312,Profitability!$A$5:$A$342,Profitability!$R$5:$R$342),"na")</f>
        <v/>
      </c>
      <c r="T312" s="8" t="inlineStr">
        <is>
          <t>Public</t>
        </is>
      </c>
      <c r="U312" s="8" t="inlineStr">
        <is>
          <t>Australia</t>
        </is>
      </c>
      <c r="V312" s="9" t="n">
        <v>2019</v>
      </c>
      <c r="W312" s="10" t="inlineStr">
        <is>
          <t>-</t>
        </is>
      </c>
      <c r="X312" s="11" t="n">
        <v>56.259</v>
      </c>
      <c r="Y312" s="8" t="inlineStr">
        <is>
          <t>Pacific</t>
        </is>
      </c>
      <c r="Z312" s="8" t="inlineStr">
        <is>
          <t>New South Wales (NSW)</t>
        </is>
      </c>
      <c r="AA312" s="11" t="n">
        <v>826.2240203635459</v>
      </c>
      <c r="AB312" s="8" t="inlineStr">
        <is>
          <t>KKR Credit Income Fund engages in the provision of financial services. The company was founded in 1976 and is headquartered in Sydney, Australia.</t>
        </is>
      </c>
      <c r="AC312" s="8" t="inlineStr">
        <is>
          <t>-</t>
        </is>
      </c>
      <c r="AD312" s="8" t="inlineStr">
        <is>
          <t>-</t>
        </is>
      </c>
      <c r="AE312" s="8" t="inlineStr">
        <is>
          <t>-</t>
        </is>
      </c>
      <c r="AF312" s="12" t="inlineStr">
        <is>
          <t>-</t>
        </is>
      </c>
      <c r="AR312" t="n">
        <v>1.068629</v>
      </c>
    </row>
    <row r="313" ht="15" customHeight="1">
      <c r="A313" s="8" t="inlineStr">
        <is>
          <t>MME-AU</t>
        </is>
      </c>
      <c r="B313" s="8" t="inlineStr">
        <is>
          <t>MoneyMe Ltd.</t>
        </is>
      </c>
      <c r="C313" s="8" t="n"/>
      <c r="D313" s="8" t="n"/>
      <c r="E313" s="8" t="n"/>
      <c r="F313" s="8" t="n"/>
      <c r="G313" s="8" t="n"/>
      <c r="H313" s="8" t="n"/>
      <c r="I313" s="8" t="n"/>
      <c r="J313" s="8" t="n"/>
      <c r="K313" s="8" t="n"/>
      <c r="L313" s="8" t="n"/>
      <c r="M313" s="8" t="n"/>
      <c r="N313" s="17" t="n"/>
      <c r="O313" s="17" t="n"/>
      <c r="P313" s="17" t="n"/>
      <c r="Q313" s="17" t="n"/>
      <c r="R313" s="10">
        <f>IFERROR(_xlfn.XLOOKUP($A313,Profitability!$A$5:$A$342,Profitability!$Q$5:$Q$342),"na")</f>
        <v/>
      </c>
      <c r="S313" s="10">
        <f>IFERROR(_xlfn.XLOOKUP($A313,Profitability!$A$5:$A$342,Profitability!$R$5:$R$342),"na")</f>
        <v/>
      </c>
      <c r="T313" s="8" t="inlineStr">
        <is>
          <t>Public</t>
        </is>
      </c>
      <c r="U313" s="8" t="inlineStr">
        <is>
          <t>Australia</t>
        </is>
      </c>
      <c r="V313" s="9" t="n">
        <v>2019</v>
      </c>
      <c r="W313" s="10" t="inlineStr">
        <is>
          <t>-</t>
        </is>
      </c>
      <c r="X313" s="11" t="n">
        <v>207.983</v>
      </c>
      <c r="Y313" s="8" t="inlineStr">
        <is>
          <t>Pacific</t>
        </is>
      </c>
      <c r="Z313" s="8" t="inlineStr">
        <is>
          <t>New South Wales (NSW)</t>
        </is>
      </c>
      <c r="AA313" s="11" t="n">
        <v>1657.7110408568</v>
      </c>
      <c r="AB313" s="8" t="inlineStr">
        <is>
          <t>MoneyMe Ltd. is a consumer credit sector company, which engages in the provision of financing solutions to consumers for a variety of personal funding requirements. Its brands include MONEYME and SocietyOne. The company was founded by Clayton Howes, Scott Emery, and Steve Bannigan on May 9, 2013 and is headquartered in Sydney, Australia.</t>
        </is>
      </c>
      <c r="AC313" s="8" t="inlineStr">
        <is>
          <t>Consumer Finance Services</t>
        </is>
      </c>
      <c r="AD313" s="8" t="inlineStr">
        <is>
          <t>Specialty Finance</t>
        </is>
      </c>
      <c r="AE313" s="8" t="inlineStr">
        <is>
          <t>Specialty Finance and Services</t>
        </is>
      </c>
      <c r="AF313" s="12" t="inlineStr">
        <is>
          <t>Personal Loans</t>
        </is>
      </c>
      <c r="AH313" t="n">
        <v>4</v>
      </c>
      <c r="AJ313" t="inlineStr">
        <is>
          <t>Combined Scope 1 and 2 total Citation(s): [44]</t>
        </is>
      </c>
      <c r="AR313" t="n">
        <v>-0.320257</v>
      </c>
    </row>
    <row r="314" ht="15" customHeight="1">
      <c r="A314" s="8" t="inlineStr">
        <is>
          <t>TPG-AU</t>
        </is>
      </c>
      <c r="B314" s="8" t="inlineStr">
        <is>
          <t>TPG Telecom Ltd.</t>
        </is>
      </c>
      <c r="C314" s="8" t="n"/>
      <c r="D314" s="8" t="n"/>
      <c r="E314" s="8" t="n"/>
      <c r="F314" s="8" t="n"/>
      <c r="G314" s="8" t="n"/>
      <c r="H314" s="8" t="n"/>
      <c r="I314" s="8" t="n"/>
      <c r="J314" s="8" t="n"/>
      <c r="K314" s="8" t="n"/>
      <c r="L314" s="8" t="n"/>
      <c r="M314" s="8" t="n"/>
      <c r="N314" s="17" t="n"/>
      <c r="O314" s="17" t="n"/>
      <c r="P314" s="10" t="n">
        <v>4341</v>
      </c>
      <c r="Q314" s="10" t="n">
        <v>233633</v>
      </c>
      <c r="R314" s="10">
        <f>IFERROR(_xlfn.XLOOKUP($A314,Profitability!$A$5:$A$342,Profitability!$Q$5:$Q$342),"na")</f>
        <v/>
      </c>
      <c r="S314" s="10">
        <f>IFERROR(_xlfn.XLOOKUP($A314,Profitability!$A$5:$A$342,Profitability!$R$5:$R$342),"na")</f>
        <v/>
      </c>
      <c r="T314" s="8" t="inlineStr">
        <is>
          <t>Public</t>
        </is>
      </c>
      <c r="U314" s="8" t="inlineStr">
        <is>
          <t>Australia</t>
        </is>
      </c>
      <c r="V314" s="9" t="n">
        <v>2001</v>
      </c>
      <c r="W314" s="10" t="n">
        <v>7700</v>
      </c>
      <c r="X314" s="11" t="n">
        <v>5520</v>
      </c>
      <c r="Y314" s="8" t="inlineStr">
        <is>
          <t>Pacific</t>
        </is>
      </c>
      <c r="Z314" s="8" t="inlineStr">
        <is>
          <t>New South Wales (NSW)</t>
        </is>
      </c>
      <c r="AA314" s="11" t="n">
        <v>19932.9993817131</v>
      </c>
      <c r="AB314" s="8" t="inlineStr">
        <is>
          <t>TPG Telecom Ltd. engages in the provision of telecommunication services to residential users, small and medium enterprises, government, corporate enterprises, and wholesale customers. It operates through the following business segments: Consumer and Corporate. The Consumer segment provides fixed line Internet, home phone and ‘SIM only’ mobile services. It also offers retail customers standalone services as well as plans that bundle broadband and home phone line rental. The Corporate segment covers telecommunications solutions to customers. The company was founded in 1986 and is headquartered in North Sydney, Australia.</t>
        </is>
      </c>
      <c r="AC314" s="8" t="inlineStr">
        <is>
          <t>Pan-Asia/Pacific Mixed Telecommunications Services</t>
        </is>
      </c>
      <c r="AD314" s="8" t="inlineStr">
        <is>
          <t>General Telecommunications Services</t>
        </is>
      </c>
      <c r="AE314" s="8" t="inlineStr">
        <is>
          <t>Telecommunications</t>
        </is>
      </c>
      <c r="AF314" s="12" t="inlineStr">
        <is>
          <t>Australia/New Zealand Mixed Telecom Services</t>
        </is>
      </c>
      <c r="AH314" t="n">
        <v>2800</v>
      </c>
      <c r="AI314" t="n">
        <v>1</v>
      </c>
      <c r="AJ314" t="inlineStr">
        <is>
          <t>I am pleased to share our 2023,,
,our partners and suppliers on,significant milestones in our 5G
Sustainability Report and provide,,</t>
        </is>
      </c>
      <c r="AK314" t="n">
        <v>226000</v>
      </c>
      <c r="AL314" t="n">
        <v>1</v>
      </c>
      <c r="AM314" t="inlineStr">
        <is>
          <t>,,
"224.4
224.8</t>
        </is>
      </c>
      <c r="AN314" t="n">
        <v>1235200</v>
      </c>
      <c r="AO314" t="n">
        <v>1</v>
      </c>
      <c r="AP314">
        <f>== Table 1 (page 3) ===
Message from the CEO,,</f>
        <v/>
      </c>
      <c r="AQ314" t="n">
        <v>2</v>
      </c>
      <c r="AR314" t="n">
        <v>-0.019384</v>
      </c>
      <c r="AS314" t="n">
        <v>0.000362</v>
      </c>
    </row>
    <row r="315" ht="15" customHeight="1">
      <c r="A315" s="8" t="inlineStr">
        <is>
          <t>PLT-AU</t>
        </is>
      </c>
      <c r="B315" s="8" t="inlineStr">
        <is>
          <t>Plenti Group Ltd.</t>
        </is>
      </c>
      <c r="C315" s="8" t="n"/>
      <c r="D315" s="8" t="n"/>
      <c r="E315" s="8" t="n"/>
      <c r="F315" s="8" t="n"/>
      <c r="G315" s="8" t="n"/>
      <c r="H315" s="8" t="n"/>
      <c r="I315" s="8" t="n"/>
      <c r="J315" s="8" t="n"/>
      <c r="K315" s="8" t="n"/>
      <c r="L315" s="8" t="n"/>
      <c r="M315" s="8" t="n"/>
      <c r="N315" s="17" t="n"/>
      <c r="O315" s="17" t="n"/>
      <c r="P315" s="17" t="n"/>
      <c r="Q315" s="17" t="n"/>
      <c r="R315" s="10">
        <f>IFERROR(_xlfn.XLOOKUP($A315,Profitability!$A$5:$A$342,Profitability!$Q$5:$Q$342),"na")</f>
        <v/>
      </c>
      <c r="S315" s="10">
        <f>IFERROR(_xlfn.XLOOKUP($A315,Profitability!$A$5:$A$342,Profitability!$R$5:$R$342),"na")</f>
        <v/>
      </c>
      <c r="T315" s="8" t="inlineStr">
        <is>
          <t>Public</t>
        </is>
      </c>
      <c r="U315" s="8" t="inlineStr">
        <is>
          <t>Australia</t>
        </is>
      </c>
      <c r="V315" s="9" t="n">
        <v>2020</v>
      </c>
      <c r="W315" s="10" t="inlineStr">
        <is>
          <t>-</t>
        </is>
      </c>
      <c r="X315" s="11" t="n">
        <v>259.397999999999</v>
      </c>
      <c r="Y315" s="8" t="inlineStr">
        <is>
          <t>Pacific</t>
        </is>
      </c>
      <c r="Z315" s="8" t="inlineStr">
        <is>
          <t>New South Wales (NSW)</t>
        </is>
      </c>
      <c r="AA315" s="11" t="n">
        <v>2657.02703805658</v>
      </c>
      <c r="AB315" s="8" t="inlineStr">
        <is>
          <t>Plenti Group Ltd. provides consumer lending and investing platform. It focuses on lending to creditworthy borrowers in the following segments: secured automotive loans, renewable energy loans and personal loans. The company's product categories include barrow, personal loans, car loans, green loans and legal loans. Plenti Group was founded by Daniel Robert Foggo, Glenn Nicholas Riddell and Benjamin Henry Milsom in November 2014 and is headquartered in Sydney, Australia.</t>
        </is>
      </c>
      <c r="AC315" s="8" t="inlineStr">
        <is>
          <t>Consumer Finance Services</t>
        </is>
      </c>
      <c r="AD315" s="8" t="inlineStr">
        <is>
          <t>Specialty Finance</t>
        </is>
      </c>
      <c r="AE315" s="8" t="inlineStr">
        <is>
          <t>Specialty Finance and Services</t>
        </is>
      </c>
      <c r="AF315" s="12" t="inlineStr">
        <is>
          <t>Personal Loans</t>
        </is>
      </c>
      <c r="AR315" t="n">
        <v>0.09544</v>
      </c>
    </row>
    <row r="316" ht="15" customHeight="1">
      <c r="A316" s="8" t="inlineStr">
        <is>
          <t>HDN-AU</t>
        </is>
      </c>
      <c r="B316" s="8" t="inlineStr">
        <is>
          <t>HomeCo Daily Needs REIT</t>
        </is>
      </c>
      <c r="C316" s="8" t="n"/>
      <c r="D316" s="8" t="n"/>
      <c r="E316" s="8" t="n"/>
      <c r="F316" s="8" t="n"/>
      <c r="G316" s="8" t="n"/>
      <c r="H316" s="8" t="n"/>
      <c r="I316" s="8" t="n"/>
      <c r="J316" s="8" t="n"/>
      <c r="K316" s="8" t="n"/>
      <c r="L316" s="8" t="n"/>
      <c r="M316" s="8" t="n"/>
      <c r="N316" s="17" t="n"/>
      <c r="O316" s="17" t="n"/>
      <c r="P316" s="17" t="n"/>
      <c r="Q316" s="17" t="n"/>
      <c r="R316" s="10">
        <f>IFERROR(_xlfn.XLOOKUP($A316,Profitability!$A$5:$A$342,Profitability!$Q$5:$Q$342),"na")</f>
        <v/>
      </c>
      <c r="S316" s="10">
        <f>IFERROR(_xlfn.XLOOKUP($A316,Profitability!$A$5:$A$342,Profitability!$R$5:$R$342),"na")</f>
        <v/>
      </c>
      <c r="T316" s="8" t="inlineStr">
        <is>
          <t>Public</t>
        </is>
      </c>
      <c r="U316" s="8" t="inlineStr">
        <is>
          <t>Australia</t>
        </is>
      </c>
      <c r="V316" s="9" t="n">
        <v>2020</v>
      </c>
      <c r="W316" s="10" t="inlineStr">
        <is>
          <t>-</t>
        </is>
      </c>
      <c r="X316" s="11" t="n">
        <v>365.699999999999</v>
      </c>
      <c r="Y316" s="8" t="inlineStr">
        <is>
          <t>Pacific</t>
        </is>
      </c>
      <c r="Z316" s="8" t="inlineStr">
        <is>
          <t>New South Wales (NSW)</t>
        </is>
      </c>
      <c r="AA316" s="11" t="n">
        <v>4960.70012226399</v>
      </c>
      <c r="AB316" s="8" t="inlineStr">
        <is>
          <t>HomeCo Daily Needs REIT aims to invest in predominately metro-located, convenience-based assets, across the target sub-sectors of neighborhood retail, large format retail, and health and services. Its objective is to provide unit holders with exposure to a portfolio of stabilized assets targeting consistent and growing distributions. The company was founded in November 2020 and is headquartered in Sydney, Australia.</t>
        </is>
      </c>
      <c r="AC316" s="8" t="inlineStr">
        <is>
          <t>Equity REITs</t>
        </is>
      </c>
      <c r="AD316" s="8" t="inlineStr">
        <is>
          <t>Real Estate Investment Trusts (REITs)</t>
        </is>
      </c>
      <c r="AE316" s="8" t="inlineStr">
        <is>
          <t>Real Estate</t>
        </is>
      </c>
      <c r="AF316" s="12" t="inlineStr">
        <is>
          <t>Equity REITs</t>
        </is>
      </c>
      <c r="AR316" t="n">
        <v>0.684441</v>
      </c>
    </row>
    <row r="317" ht="15" customHeight="1">
      <c r="A317" s="8" t="inlineStr">
        <is>
          <t>DUR-AU</t>
        </is>
      </c>
      <c r="B317" s="8" t="inlineStr">
        <is>
          <t>Duratec Ltd.</t>
        </is>
      </c>
      <c r="C317" s="8" t="n"/>
      <c r="D317" s="8" t="n"/>
      <c r="E317" s="8" t="n"/>
      <c r="F317" s="8" t="n"/>
      <c r="G317" s="8" t="n"/>
      <c r="H317" s="8" t="n"/>
      <c r="I317" s="8" t="n"/>
      <c r="J317" s="8" t="n"/>
      <c r="K317" s="8" t="n"/>
      <c r="L317" s="8" t="n"/>
      <c r="M317" s="8" t="n"/>
      <c r="N317" s="17" t="n"/>
      <c r="O317" s="17" t="n"/>
      <c r="P317" s="17" t="n"/>
      <c r="Q317" s="17" t="n"/>
      <c r="R317" s="10">
        <f>IFERROR(_xlfn.XLOOKUP($A317,Profitability!$A$5:$A$342,Profitability!$Q$5:$Q$342),"na")</f>
        <v/>
      </c>
      <c r="S317" s="10">
        <f>IFERROR(_xlfn.XLOOKUP($A317,Profitability!$A$5:$A$342,Profitability!$R$5:$R$342),"na")</f>
        <v/>
      </c>
      <c r="T317" s="8" t="inlineStr">
        <is>
          <t>Public</t>
        </is>
      </c>
      <c r="U317" s="8" t="inlineStr">
        <is>
          <t>Australia</t>
        </is>
      </c>
      <c r="V317" s="9" t="n">
        <v>2010</v>
      </c>
      <c r="W317" s="10" t="n">
        <v>1265</v>
      </c>
      <c r="X317" s="11" t="n">
        <v>573.027999999999</v>
      </c>
      <c r="Y317" s="8" t="inlineStr">
        <is>
          <t>Pacific</t>
        </is>
      </c>
      <c r="Z317" s="8" t="inlineStr">
        <is>
          <t>Western Australia (WA)</t>
        </is>
      </c>
      <c r="AA317" s="11" t="n">
        <v>251.374006195493</v>
      </c>
      <c r="AB317" s="8" t="inlineStr">
        <is>
          <t>Duratec Ltd. engages in protection and remediation of steel and concrete. The company operates through the following segments: Defence, Mining &amp; Industrial, Buildings &amp; Facades and Other. The company was founded by Harcourt Robert Phillip, Christopher John Oates and Deane Diprose Gerald on January 22, 2010 and is headquartered in Wangara, Austrial.</t>
        </is>
      </c>
      <c r="AC317" s="8" t="inlineStr">
        <is>
          <t>Infrastructure Construction/Contracting Services</t>
        </is>
      </c>
      <c r="AD317" s="8" t="inlineStr">
        <is>
          <t>Facilities and Construction Services</t>
        </is>
      </c>
      <c r="AE317" s="8" t="inlineStr">
        <is>
          <t>Industrial Services</t>
        </is>
      </c>
      <c r="AF317" s="12" t="inlineStr">
        <is>
          <t>Infrastructure Construction</t>
        </is>
      </c>
      <c r="AR317" t="n">
        <v>0.039836</v>
      </c>
    </row>
    <row r="318" ht="15" customHeight="1">
      <c r="A318" s="8" t="inlineStr">
        <is>
          <t>GNP-AU</t>
        </is>
      </c>
      <c r="B318" s="8" t="inlineStr">
        <is>
          <t>GenusPlus Group Ltd.</t>
        </is>
      </c>
      <c r="C318" s="8" t="n"/>
      <c r="D318" s="8" t="n"/>
      <c r="E318" s="8" t="n"/>
      <c r="F318" s="8" t="n"/>
      <c r="G318" s="8" t="n"/>
      <c r="H318" s="8" t="n"/>
      <c r="I318" s="8" t="n"/>
      <c r="J318" s="8" t="n"/>
      <c r="K318" s="8" t="n"/>
      <c r="L318" s="8" t="n"/>
      <c r="M318" s="8" t="n"/>
      <c r="N318" s="17" t="n"/>
      <c r="O318" s="17" t="n"/>
      <c r="P318" s="17" t="n"/>
      <c r="Q318" s="17" t="n"/>
      <c r="R318" s="10">
        <f>IFERROR(_xlfn.XLOOKUP($A318,Profitability!$A$5:$A$342,Profitability!$Q$5:$Q$342),"na")</f>
        <v/>
      </c>
      <c r="S318" s="10">
        <f>IFERROR(_xlfn.XLOOKUP($A318,Profitability!$A$5:$A$342,Profitability!$R$5:$R$342),"na")</f>
        <v/>
      </c>
      <c r="T318" s="8" t="inlineStr">
        <is>
          <t>Public</t>
        </is>
      </c>
      <c r="U318" s="8" t="inlineStr">
        <is>
          <t>Australia</t>
        </is>
      </c>
      <c r="V318" s="9" t="n">
        <v>2017</v>
      </c>
      <c r="W318" s="10" t="n">
        <v>1121</v>
      </c>
      <c r="X318" s="11" t="n">
        <v>751.265713</v>
      </c>
      <c r="Y318" s="8" t="inlineStr">
        <is>
          <t>Pacific</t>
        </is>
      </c>
      <c r="Z318" s="8" t="inlineStr">
        <is>
          <t>Western Australia (WA)</t>
        </is>
      </c>
      <c r="AA318" s="11" t="n">
        <v>470.969310607754</v>
      </c>
      <c r="AB318" s="8" t="inlineStr">
        <is>
          <t>GenusPlus Group Ltd. engages in the provision of installation, construction, and maintenance of power and communication systems. It operates through the following segments: Infrastructure, Services, and Energy &amp; Engineering. The company was founded by David Riches on July 6, 2017 and is headquartered in Belmont, Australia.</t>
        </is>
      </c>
      <c r="AC318" s="8" t="inlineStr">
        <is>
          <t>Infrastructure Construction/Contracting Services</t>
        </is>
      </c>
      <c r="AD318" s="8" t="inlineStr">
        <is>
          <t>Facilities and Construction Services</t>
        </is>
      </c>
      <c r="AE318" s="8" t="inlineStr">
        <is>
          <t>Industrial Services</t>
        </is>
      </c>
      <c r="AF318" s="12" t="inlineStr">
        <is>
          <t>Process Plants, Utilities and Energy Construction</t>
        </is>
      </c>
      <c r="AR318" t="n">
        <v>0.04708</v>
      </c>
    </row>
    <row r="319" ht="15" customHeight="1">
      <c r="A319" s="8" t="inlineStr">
        <is>
          <t>MGH-AU</t>
        </is>
      </c>
      <c r="B319" s="8" t="inlineStr">
        <is>
          <t>MAAS Group Holdings Ltd.</t>
        </is>
      </c>
      <c r="C319" s="8" t="n"/>
      <c r="D319" s="8" t="n"/>
      <c r="E319" s="8" t="n"/>
      <c r="F319" s="8" t="n"/>
      <c r="G319" s="8" t="n"/>
      <c r="H319" s="8" t="n"/>
      <c r="I319" s="8" t="n"/>
      <c r="J319" s="8" t="n"/>
      <c r="K319" s="8" t="n"/>
      <c r="L319" s="8" t="n"/>
      <c r="M319" s="8" t="n"/>
      <c r="N319" s="17" t="n"/>
      <c r="O319" s="17" t="n"/>
      <c r="P319" s="17" t="n"/>
      <c r="Q319" s="17" t="n"/>
      <c r="R319" s="10">
        <f>IFERROR(_xlfn.XLOOKUP($A319,Profitability!$A$5:$A$342,Profitability!$Q$5:$Q$342),"na")</f>
        <v/>
      </c>
      <c r="S319" s="10">
        <f>IFERROR(_xlfn.XLOOKUP($A319,Profitability!$A$5:$A$342,Profitability!$R$5:$R$342),"na")</f>
        <v/>
      </c>
      <c r="T319" s="8" t="inlineStr">
        <is>
          <t>Public</t>
        </is>
      </c>
      <c r="U319" s="8" t="inlineStr">
        <is>
          <t>Australia</t>
        </is>
      </c>
      <c r="V319" s="9" t="n">
        <v>2019</v>
      </c>
      <c r="W319" s="10" t="n">
        <v>2300</v>
      </c>
      <c r="X319" s="11" t="n">
        <v>1030.54199999999</v>
      </c>
      <c r="Y319" s="8" t="inlineStr">
        <is>
          <t>Pacific</t>
        </is>
      </c>
      <c r="Z319" s="8" t="inlineStr">
        <is>
          <t>New South Wales (NSW)</t>
        </is>
      </c>
      <c r="AA319" s="11" t="n">
        <v>1992.47904910768</v>
      </c>
      <c r="AB319" s="8" t="inlineStr">
        <is>
          <t>MAAS Group Holdings Ltd. engages in the supply of construction materials and equipment. The firm operates through the following segments: Residential Real Estate; Commercial Real Estate; Civil, Construction &amp; Hire; Manufacturing; Construction Materials; and Other. The Residential Real Estate segment engages in developing, investing, building, and selling residential land and housing. The Commercial Real Estate segment operates through commercial construction, which builds and constructs commercial developments and commercial development &amp; investment, which delivers commercial property and industrial developments, and investing in commercial real estate building products. The Civil, Construction &amp; Hire segment provides services under civil construction that includes civil infrastructure construction, roads, dams, renewables, and mining infrastructure; plant hire and sales for infrastructure and tunnelling projects; and electrical services, such as electrical infrastructure, communications, and machinery sales. The Manufacturing segment deals with manufacturing, sales, and distribution of underground construction and mining equipment and parts. The Construction Materials segment provides quarry materials to construction projects, mobile crushing and screening for quarries, geotechnical services, asphalt services, and quarry excavation services. The Other segment includes head office operations. The company was founded by Wesley J. Maas in 2002 and is headquartered in Dubbo, Australia.</t>
        </is>
      </c>
      <c r="AC319" s="8" t="inlineStr">
        <is>
          <t>Natural Resource and Construction Machinery Makers</t>
        </is>
      </c>
      <c r="AD319" s="8" t="inlineStr">
        <is>
          <t>Machinery Manufacturing</t>
        </is>
      </c>
      <c r="AE319" s="8" t="inlineStr">
        <is>
          <t>Industrial Manufacturing</t>
        </is>
      </c>
      <c r="AF319" s="12" t="inlineStr">
        <is>
          <t>Mining and Excavation Equipment Manufacturing</t>
        </is>
      </c>
      <c r="AH319" t="n">
        <v>41777</v>
      </c>
      <c r="AI319" t="n">
        <v>0.9</v>
      </c>
      <c r="AJ319" t="inlineStr">
        <is>
          <t>Total
41,777t
Co2-e*Total</t>
        </is>
      </c>
      <c r="AK319" t="n">
        <v>5237</v>
      </c>
      <c r="AL319" t="n">
        <v>0.9</v>
      </c>
      <c r="AM319" t="inlineStr">
        <is>
          <t>2% 13%
2% 5%Less than 1% Less than 1%Construction Materials Construction Materials
Commercial Real Estate Commercial Real Estate</t>
        </is>
      </c>
      <c r="AN319" t="n">
        <v>0</v>
      </c>
      <c r="AQ319" t="n">
        <v>2</v>
      </c>
      <c r="AR319" t="n">
        <v>0.06983</v>
      </c>
      <c r="AS319" t="n">
        <v>0.001941</v>
      </c>
    </row>
    <row r="320" ht="15" customHeight="1">
      <c r="A320" s="8" t="inlineStr">
        <is>
          <t>DBI-AU</t>
        </is>
      </c>
      <c r="B320" s="8" t="inlineStr">
        <is>
          <t>Dalrymple Bay Infrastructure Ltd.</t>
        </is>
      </c>
      <c r="C320" s="8" t="n"/>
      <c r="D320" s="8" t="n"/>
      <c r="E320" s="8" t="n"/>
      <c r="F320" s="8" t="n"/>
      <c r="G320" s="8" t="n"/>
      <c r="H320" s="8" t="n"/>
      <c r="I320" s="8" t="n"/>
      <c r="J320" s="8" t="n"/>
      <c r="K320" s="8" t="n"/>
      <c r="L320" s="8" t="n"/>
      <c r="M320" s="8" t="n"/>
      <c r="N320" s="17" t="n"/>
      <c r="O320" s="17" t="n"/>
      <c r="P320" s="17" t="n"/>
      <c r="Q320" s="17" t="n"/>
      <c r="R320" s="10">
        <f>IFERROR(_xlfn.XLOOKUP($A320,Profitability!$A$5:$A$342,Profitability!$Q$5:$Q$342),"na")</f>
        <v/>
      </c>
      <c r="S320" s="10">
        <f>IFERROR(_xlfn.XLOOKUP($A320,Profitability!$A$5:$A$342,Profitability!$R$5:$R$342),"na")</f>
        <v/>
      </c>
      <c r="T320" s="8" t="inlineStr">
        <is>
          <t>Public</t>
        </is>
      </c>
      <c r="U320" s="8" t="inlineStr">
        <is>
          <t>Australia</t>
        </is>
      </c>
      <c r="V320" s="9" t="n">
        <v>2020</v>
      </c>
      <c r="W320" s="10" t="inlineStr">
        <is>
          <t>-</t>
        </is>
      </c>
      <c r="X320" s="11" t="n">
        <v>766.542</v>
      </c>
      <c r="Y320" s="8" t="inlineStr">
        <is>
          <t>Pacific</t>
        </is>
      </c>
      <c r="Z320" s="8" t="inlineStr">
        <is>
          <t>Queensland (QLD)</t>
        </is>
      </c>
      <c r="AA320" s="11" t="n">
        <v>3420.70289389575</v>
      </c>
      <c r="AB320" s="8" t="inlineStr">
        <is>
          <t>Dalrymple Bay Infrastructure Ltd. is a metallurgical coal export company. It serves as a global gateway from the Bowen Basin. The company was founded on 7 August, 2020 and is headquartered in Brisbane, Australia.</t>
        </is>
      </c>
      <c r="AC320" s="8" t="inlineStr">
        <is>
          <t>Air and Water Transportation Operators</t>
        </is>
      </c>
      <c r="AD320" s="8" t="inlineStr">
        <is>
          <t>Cargo Transportation and Infrastructure Services</t>
        </is>
      </c>
      <c r="AE320" s="8" t="inlineStr">
        <is>
          <t>Industrial Services</t>
        </is>
      </c>
      <c r="AF320" s="12" t="inlineStr">
        <is>
          <t>Water Transportation</t>
        </is>
      </c>
      <c r="AH320" t="n">
        <v>54</v>
      </c>
      <c r="AJ320" t="inlineStr">
        <is>
          <t>Annual diesel consumption associated with DBI leased vehicles. Citation(s): [7]</t>
        </is>
      </c>
      <c r="AK320" t="n">
        <v>20</v>
      </c>
      <c r="AM320" t="inlineStr">
        <is>
          <t>Annual electricity consumption from the Queensland grid associated with DBI’s corporate office. Citation(s): [7]</t>
        </is>
      </c>
      <c r="AN320" t="n">
        <v>79139</v>
      </c>
      <c r="AP320" t="inlineStr">
        <is>
          <t>Derived primarily from Scope 1 and Scope 2 emissions of the DBT Operator and other DBI contractors and suppliers. Citation(s): [8, 9]</t>
        </is>
      </c>
      <c r="AR320" t="n">
        <v>0.106712</v>
      </c>
    </row>
    <row r="321" ht="15" customHeight="1">
      <c r="A321" s="8" t="inlineStr">
        <is>
          <t>CTT-AU</t>
        </is>
      </c>
      <c r="B321" s="8" t="inlineStr">
        <is>
          <t>Cettire Ltd.</t>
        </is>
      </c>
      <c r="C321" s="8" t="n"/>
      <c r="D321" s="8" t="n"/>
      <c r="E321" s="8" t="n"/>
      <c r="F321" s="8" t="n"/>
      <c r="G321" s="8" t="n"/>
      <c r="H321" s="8" t="n"/>
      <c r="I321" s="8" t="n"/>
      <c r="J321" s="8" t="n"/>
      <c r="K321" s="8" t="n"/>
      <c r="L321" s="8" t="n"/>
      <c r="M321" s="8" t="n"/>
      <c r="N321" s="17" t="n"/>
      <c r="O321" s="17" t="n"/>
      <c r="P321" s="17" t="n"/>
      <c r="Q321" s="17" t="n"/>
      <c r="R321" s="10">
        <f>IFERROR(_xlfn.XLOOKUP($A321,Profitability!$A$5:$A$342,Profitability!$Q$5:$Q$342),"na")</f>
        <v/>
      </c>
      <c r="S321" s="10">
        <f>IFERROR(_xlfn.XLOOKUP($A321,Profitability!$A$5:$A$342,Profitability!$R$5:$R$342),"na")</f>
        <v/>
      </c>
      <c r="T321" s="8" t="inlineStr">
        <is>
          <t>Public</t>
        </is>
      </c>
      <c r="U321" s="8" t="inlineStr">
        <is>
          <t>Australia</t>
        </is>
      </c>
      <c r="V321" s="9" t="n">
        <v>2020</v>
      </c>
      <c r="W321" s="10" t="inlineStr">
        <is>
          <t>-</t>
        </is>
      </c>
      <c r="X321" s="11" t="n">
        <v>742.113329</v>
      </c>
      <c r="Y321" s="8" t="inlineStr">
        <is>
          <t>Pacific</t>
        </is>
      </c>
      <c r="Z321" s="8" t="inlineStr">
        <is>
          <t>Victoria (VIC)</t>
        </is>
      </c>
      <c r="AA321" s="11" t="n">
        <v>124.319284064037</v>
      </c>
      <c r="AB321" s="8" t="inlineStr">
        <is>
          <t>Cettire Ltd. is an online luxury goods retailer, which engages in luxury personal items such as clothing, shoes, bags, and accessories via their website. The firm offers women's and men's wear from brands such as Prada, Gucci, Saint Laurent, Balenciaga, and Valentino. The company was founded by Dean Mintz in 2017 and is headquartered in Melbourne, Australia.</t>
        </is>
      </c>
      <c r="AC321" s="8" t="inlineStr">
        <is>
          <t>Mixed Apparel and Accessories Retail</t>
        </is>
      </c>
      <c r="AD321" s="8" t="inlineStr">
        <is>
          <t>Apparel and Accessories Retail</t>
        </is>
      </c>
      <c r="AE321" s="8" t="inlineStr">
        <is>
          <t>Consumer Retail</t>
        </is>
      </c>
      <c r="AF321" s="12" t="inlineStr">
        <is>
          <t>Mixed Apparel and Accessories Retail</t>
        </is>
      </c>
      <c r="AR321" t="n">
        <v>-0.003565</v>
      </c>
    </row>
    <row r="322" ht="15" customHeight="1">
      <c r="A322" s="8" t="inlineStr">
        <is>
          <t>PWR-AU</t>
        </is>
      </c>
      <c r="B322" s="8" t="inlineStr">
        <is>
          <t>Peter Warren Automotive Holdings Ltd.</t>
        </is>
      </c>
      <c r="C322" s="8" t="n"/>
      <c r="D322" s="8" t="n"/>
      <c r="E322" s="8" t="n"/>
      <c r="F322" s="8" t="n"/>
      <c r="G322" s="8" t="n"/>
      <c r="H322" s="8" t="n"/>
      <c r="I322" s="8" t="n"/>
      <c r="J322" s="8" t="n"/>
      <c r="K322" s="8" t="n"/>
      <c r="L322" s="8" t="n"/>
      <c r="M322" s="8" t="n"/>
      <c r="N322" s="17" t="n"/>
      <c r="O322" s="17" t="n"/>
      <c r="P322" s="17" t="n"/>
      <c r="Q322" s="17" t="n"/>
      <c r="R322" s="10">
        <f>IFERROR(_xlfn.XLOOKUP($A322,Profitability!$A$5:$A$342,Profitability!$Q$5:$Q$342),"na")</f>
        <v/>
      </c>
      <c r="S322" s="10">
        <f>IFERROR(_xlfn.XLOOKUP($A322,Profitability!$A$5:$A$342,Profitability!$R$5:$R$342),"na")</f>
        <v/>
      </c>
      <c r="T322" s="8" t="inlineStr">
        <is>
          <t>Public</t>
        </is>
      </c>
      <c r="U322" s="8" t="inlineStr">
        <is>
          <t>Australia</t>
        </is>
      </c>
      <c r="V322" s="9" t="n">
        <v>2016</v>
      </c>
      <c r="W322" s="10" t="inlineStr">
        <is>
          <t>-</t>
        </is>
      </c>
      <c r="X322" s="11" t="n">
        <v>2481.436</v>
      </c>
      <c r="Y322" s="8" t="inlineStr">
        <is>
          <t>Pacific</t>
        </is>
      </c>
      <c r="Z322" s="8" t="inlineStr">
        <is>
          <t>New South Wales (NSW)</t>
        </is>
      </c>
      <c r="AA322" s="11" t="n">
        <v>1442.63103555583</v>
      </c>
      <c r="AB322" s="8" t="inlineStr">
        <is>
          <t>Peter Warren Automotive Holdings Ltd. is a holding company, which engages through its subsidiaries in motor vehicle dealership services. It operates through the Vehicle Retailing and Property segments. The Vehicle Retailing segment offers a diversified range of automotive products and services, including new vehicles, used vehicles, vehicle maintenance, and repair services, vehicle parts, extended service contracts, vehicle protection products, and other aftermarket products. The Property segment holds commercial properties principally for use as premises for its motor dealership operations. The company was founded by Peter Warren in 1958 and is headquartered in Sydney, Australia.</t>
        </is>
      </c>
      <c r="AC322" s="8" t="inlineStr">
        <is>
          <t>Motor Vehicle Sales</t>
        </is>
      </c>
      <c r="AD322" s="8" t="inlineStr">
        <is>
          <t>Auto Retail</t>
        </is>
      </c>
      <c r="AE322" s="8" t="inlineStr">
        <is>
          <t>Miscellaneous Retail</t>
        </is>
      </c>
      <c r="AF322" s="12" t="inlineStr">
        <is>
          <t>Automobile Dealers</t>
        </is>
      </c>
      <c r="AH322" t="n">
        <v>5877</v>
      </c>
      <c r="AJ322" t="inlineStr">
        <is>
          <t>Citation(s): [22]</t>
        </is>
      </c>
      <c r="AK322" t="n">
        <v>8291</v>
      </c>
      <c r="AM322" t="inlineStr">
        <is>
          <t>Citation(s): [22]</t>
        </is>
      </c>
      <c r="AR322" t="n">
        <v>0.004874</v>
      </c>
    </row>
    <row r="323" ht="15" customHeight="1">
      <c r="A323" s="8" t="inlineStr">
        <is>
          <t>ACL-AU</t>
        </is>
      </c>
      <c r="B323" s="8" t="inlineStr">
        <is>
          <t>Australian Clinical Labs Ltd.</t>
        </is>
      </c>
      <c r="C323" s="8" t="n"/>
      <c r="D323" s="8" t="n"/>
      <c r="E323" s="8" t="n"/>
      <c r="F323" s="8" t="n"/>
      <c r="G323" s="8" t="n"/>
      <c r="H323" s="8" t="n"/>
      <c r="I323" s="8" t="n"/>
      <c r="J323" s="8" t="n"/>
      <c r="K323" s="8" t="n"/>
      <c r="L323" s="8" t="n"/>
      <c r="M323" s="8" t="n"/>
      <c r="N323" s="17" t="n"/>
      <c r="O323" s="17" t="n"/>
      <c r="P323" s="17" t="n"/>
      <c r="Q323" s="17" t="n"/>
      <c r="R323" s="10">
        <f>IFERROR(_xlfn.XLOOKUP($A323,Profitability!$A$5:$A$342,Profitability!$Q$5:$Q$342),"na")</f>
        <v/>
      </c>
      <c r="S323" s="10">
        <f>IFERROR(_xlfn.XLOOKUP($A323,Profitability!$A$5:$A$342,Profitability!$R$5:$R$342),"na")</f>
        <v/>
      </c>
      <c r="T323" s="8" t="inlineStr">
        <is>
          <t>Public</t>
        </is>
      </c>
      <c r="U323" s="8" t="inlineStr">
        <is>
          <t>Australia</t>
        </is>
      </c>
      <c r="V323" s="9" t="n">
        <v>2020</v>
      </c>
      <c r="W323" s="10" t="n">
        <v>4700</v>
      </c>
      <c r="X323" s="11" t="n">
        <v>736.148</v>
      </c>
      <c r="Y323" s="8" t="inlineStr">
        <is>
          <t>Pacific</t>
        </is>
      </c>
      <c r="Z323" s="8" t="inlineStr">
        <is>
          <t>Victoria (VIC)</t>
        </is>
      </c>
      <c r="AA323" s="11" t="n">
        <v>574.838014167756</v>
      </c>
      <c r="AB323" s="8" t="inlineStr">
        <is>
          <t>Australian Clinical Labs Ltd. engages in the provision of pathology services. It operates through the Pathology segment. The Pathology segment includes pathology/clinical laboratory services provided in Australia. The company was founded in 2015 and is headquartered in Clayton, Australia.</t>
        </is>
      </c>
      <c r="AC323" s="8" t="inlineStr">
        <is>
          <t>Ambulatory and Outpatient Diagnostic Patient Care</t>
        </is>
      </c>
      <c r="AD323" s="8" t="inlineStr">
        <is>
          <t>Patient Care</t>
        </is>
      </c>
      <c r="AE323" s="8" t="inlineStr">
        <is>
          <t>Healthcare Services</t>
        </is>
      </c>
      <c r="AF323" s="12" t="inlineStr">
        <is>
          <t>Clinical Laboratory Patient Diagnostics</t>
        </is>
      </c>
      <c r="AR323" t="n">
        <v>0.044054</v>
      </c>
    </row>
    <row r="324" ht="15" customHeight="1">
      <c r="A324" s="8" t="inlineStr">
        <is>
          <t>DGL-AU</t>
        </is>
      </c>
      <c r="B324" s="8" t="inlineStr">
        <is>
          <t>DGL Group Ltd.</t>
        </is>
      </c>
      <c r="C324" s="8" t="n"/>
      <c r="D324" s="8" t="n"/>
      <c r="E324" s="8" t="n"/>
      <c r="F324" s="8" t="n"/>
      <c r="G324" s="8" t="n"/>
      <c r="H324" s="8" t="n"/>
      <c r="I324" s="8" t="n"/>
      <c r="J324" s="8" t="n"/>
      <c r="K324" s="8" t="n"/>
      <c r="L324" s="8" t="n"/>
      <c r="M324" s="8" t="n"/>
      <c r="N324" s="17" t="n"/>
      <c r="O324" s="17" t="n"/>
      <c r="P324" s="17" t="n"/>
      <c r="Q324" s="17" t="n"/>
      <c r="R324" s="10">
        <f>IFERROR(_xlfn.XLOOKUP($A324,Profitability!$A$5:$A$342,Profitability!$Q$5:$Q$342),"na")</f>
        <v/>
      </c>
      <c r="S324" s="10">
        <f>IFERROR(_xlfn.XLOOKUP($A324,Profitability!$A$5:$A$342,Profitability!$R$5:$R$342),"na")</f>
        <v/>
      </c>
      <c r="T324" s="8" t="inlineStr">
        <is>
          <t>Public</t>
        </is>
      </c>
      <c r="U324" s="8" t="inlineStr">
        <is>
          <t>Australia</t>
        </is>
      </c>
      <c r="V324" s="9" t="n">
        <v>1999</v>
      </c>
      <c r="W324" s="10" t="inlineStr">
        <is>
          <t>-</t>
        </is>
      </c>
      <c r="X324" s="11" t="n">
        <v>481.495999999999</v>
      </c>
      <c r="Y324" s="8" t="inlineStr">
        <is>
          <t>Pacific</t>
        </is>
      </c>
      <c r="Z324" s="8" t="inlineStr">
        <is>
          <t>Victoria (VIC)</t>
        </is>
      </c>
      <c r="AA324" s="11" t="n">
        <v>601.335014820815</v>
      </c>
      <c r="AB324" s="8" t="inlineStr">
        <is>
          <t>DGL Group Ltd. provides chemical manufacturing, warehousing, distribution and environmental services. It operates through the following segments: Environmental Solutions, Chemical Manufacturing, Logistics, and Corporate Costs. The Environmental Solutions segment is focused on resource recovery and waste management. The Chemical Manufacturing segment produces its own range of specialty chemicals and has undertaken advanced formulation and contract manufacturing on behalf of third parties. The Logistics segment offers transport, logistics and warehousing services focusing on dangerous and hazardous goods across Australia and New Zealand. The Corporate Costs segment represents costs incurred by the Group not allocated to the operating segments. The company was founded by Henry Simon in 1999 and is headquartered in Melbourne, Australia.</t>
        </is>
      </c>
      <c r="AC324" s="8" t="inlineStr">
        <is>
          <t>Other Specialty/Performance Chemical Manufacturing</t>
        </is>
      </c>
      <c r="AD324" s="8" t="inlineStr">
        <is>
          <t>Specialty and Performance Chemicals</t>
        </is>
      </c>
      <c r="AE324" s="8" t="inlineStr">
        <is>
          <t>Chemical, Plastic and Rubber Materials</t>
        </is>
      </c>
      <c r="AF324" s="12" t="inlineStr">
        <is>
          <t>Diversified Specialty/Performance Chemicals Makers</t>
        </is>
      </c>
      <c r="AR324" t="n">
        <v>-0.057988</v>
      </c>
    </row>
    <row r="325" ht="15" customHeight="1">
      <c r="A325" s="8" t="inlineStr">
        <is>
          <t>29M-AU</t>
        </is>
      </c>
      <c r="B325" s="8" t="inlineStr">
        <is>
          <t>29metals Ltd.</t>
        </is>
      </c>
      <c r="C325" s="8" t="n"/>
      <c r="D325" s="8" t="n"/>
      <c r="E325" s="8" t="n"/>
      <c r="F325" s="8" t="n"/>
      <c r="G325" s="8" t="n"/>
      <c r="H325" s="8" t="n"/>
      <c r="I325" s="8" t="n"/>
      <c r="J325" s="8" t="n"/>
      <c r="K325" s="8" t="n"/>
      <c r="L325" s="8" t="n"/>
      <c r="M325" s="8" t="n"/>
      <c r="N325" s="17" t="n"/>
      <c r="O325" s="17" t="n"/>
      <c r="P325" s="10" t="n">
        <v>31754</v>
      </c>
      <c r="Q325" s="10" t="n">
        <v>112247</v>
      </c>
      <c r="R325" s="10">
        <f>IFERROR(_xlfn.XLOOKUP($A325,Profitability!$A$5:$A$342,Profitability!$Q$5:$Q$342),"na")</f>
        <v/>
      </c>
      <c r="S325" s="10">
        <f>IFERROR(_xlfn.XLOOKUP($A325,Profitability!$A$5:$A$342,Profitability!$R$5:$R$342),"na")</f>
        <v/>
      </c>
      <c r="T325" s="8" t="inlineStr">
        <is>
          <t>Public</t>
        </is>
      </c>
      <c r="U325" s="8" t="inlineStr">
        <is>
          <t>Australia</t>
        </is>
      </c>
      <c r="V325" s="9" t="n">
        <v>2021</v>
      </c>
      <c r="W325" s="10" t="inlineStr">
        <is>
          <t>-</t>
        </is>
      </c>
      <c r="X325" s="11" t="n">
        <v>557.767999999999</v>
      </c>
      <c r="Y325" s="8" t="inlineStr">
        <is>
          <t>Pacific</t>
        </is>
      </c>
      <c r="Z325" s="8" t="inlineStr">
        <is>
          <t>Victoria (VIC)</t>
        </is>
      </c>
      <c r="AA325" s="11" t="n">
        <v>1038.07496780072</v>
      </c>
      <c r="AB325" s="8" t="inlineStr">
        <is>
          <t>29Metals Ltd. engages in the exploration and development of copper and base and precious metals resources. It operates through the following segments: Golden Grove, Capricorn Copper, and Exploration. The Golden Grove segment includes base and precious metals mining, mineral production, and associated activities. The Capricorn Copper segment refers to base and precious metals mining, mineral production and associated activities. The Exploration segment involves in the exploration for mineral resources at Redhill (Chile), and regional exploration at Golden Grove (Western Australia) and Capricorn Copper (Queensland). The company was founded on May 27, 2021 and is headquartered in Melbourne, Australia.</t>
        </is>
      </c>
      <c r="AC325" s="8" t="inlineStr">
        <is>
          <t>Base Metal Mining</t>
        </is>
      </c>
      <c r="AD325" s="8" t="inlineStr">
        <is>
          <t>Metal Ore Mining</t>
        </is>
      </c>
      <c r="AE325" s="8" t="inlineStr">
        <is>
          <t>Mining and Mineral Products</t>
        </is>
      </c>
      <c r="AF325" s="12" t="inlineStr">
        <is>
          <t>Non-Ferrous Metal Ore Mining</t>
        </is>
      </c>
      <c r="AH325" t="n">
        <v>144375</v>
      </c>
      <c r="AJ325" t="inlineStr">
        <is>
          <t>Total scope 1 and 2 greenhouse gas emissions. Combined Scope 1 and 2 total. Total scope 1 and 2 greenhouse gas emissions. Citation(s): [38]</t>
        </is>
      </c>
      <c r="AR325" t="n">
        <v>-0.318426</v>
      </c>
    </row>
    <row r="326" ht="15" customHeight="1">
      <c r="A326" s="8" t="inlineStr">
        <is>
          <t>SLH-AU</t>
        </is>
      </c>
      <c r="B326" s="8" t="inlineStr">
        <is>
          <t>Silk Logistics Holdings Ltd.</t>
        </is>
      </c>
      <c r="C326" s="8" t="n"/>
      <c r="D326" s="8" t="n"/>
      <c r="E326" s="8" t="n"/>
      <c r="F326" s="8" t="n"/>
      <c r="G326" s="8" t="n"/>
      <c r="H326" s="8" t="n"/>
      <c r="I326" s="8" t="n"/>
      <c r="J326" s="8" t="n"/>
      <c r="K326" s="8" t="n"/>
      <c r="L326" s="8" t="n"/>
      <c r="M326" s="8" t="n"/>
      <c r="N326" s="17" t="n"/>
      <c r="O326" s="17" t="n"/>
      <c r="P326" s="17" t="n"/>
      <c r="Q326" s="17" t="n"/>
      <c r="R326" s="10">
        <f>IFERROR(_xlfn.XLOOKUP($A326,Profitability!$A$5:$A$342,Profitability!$Q$5:$Q$342),"na")</f>
        <v/>
      </c>
      <c r="S326" s="10">
        <f>IFERROR(_xlfn.XLOOKUP($A326,Profitability!$A$5:$A$342,Profitability!$R$5:$R$342),"na")</f>
        <v/>
      </c>
      <c r="T326" s="8" t="inlineStr">
        <is>
          <t>Public</t>
        </is>
      </c>
      <c r="U326" s="8" t="inlineStr">
        <is>
          <t>Australia</t>
        </is>
      </c>
      <c r="V326" s="9" t="n">
        <v>2013</v>
      </c>
      <c r="W326" s="10" t="inlineStr">
        <is>
          <t>-</t>
        </is>
      </c>
      <c r="X326" s="11" t="n">
        <v>556.4</v>
      </c>
      <c r="Y326" s="8" t="inlineStr">
        <is>
          <t>Pacific</t>
        </is>
      </c>
      <c r="Z326" s="8" t="inlineStr">
        <is>
          <t>Victoria (VIC)</t>
        </is>
      </c>
      <c r="AA326" s="11" t="n">
        <v>628.212995248302</v>
      </c>
      <c r="AB326" s="8" t="inlineStr">
        <is>
          <t>Silk Logistics Holdings Ltd. engages in logistics services. It operates through the Port Logistics and Contract Logistics segments. The Port Logistics segment includes the wharf cartage services to the customers. The Contract Logistics segment refers to the warehousing and related transport services to customers. The company was founded by Brendan Boyd and John Sood in 2008 and is headquartered in Port Melbourne, Australia.</t>
        </is>
      </c>
      <c r="AC326" s="8" t="inlineStr">
        <is>
          <t>Air and Water Transportation Operators</t>
        </is>
      </c>
      <c r="AD326" s="8" t="inlineStr">
        <is>
          <t>Cargo Transportation and Infrastructure Services</t>
        </is>
      </c>
      <c r="AE326" s="8" t="inlineStr">
        <is>
          <t>Industrial Services</t>
        </is>
      </c>
      <c r="AF326" s="12" t="inlineStr">
        <is>
          <t>Water Transportation</t>
        </is>
      </c>
      <c r="AR326" t="n">
        <v>0.013327</v>
      </c>
    </row>
    <row r="327" ht="15" customHeight="1">
      <c r="A327" s="8" t="inlineStr">
        <is>
          <t>PXA-AU</t>
        </is>
      </c>
      <c r="B327" s="8" t="inlineStr">
        <is>
          <t>PEXA Group Ltd.</t>
        </is>
      </c>
      <c r="C327" s="8" t="n"/>
      <c r="D327" s="8" t="n"/>
      <c r="E327" s="8" t="n"/>
      <c r="F327" s="8" t="n"/>
      <c r="G327" s="8" t="n"/>
      <c r="H327" s="8" t="n"/>
      <c r="I327" s="8" t="n"/>
      <c r="J327" s="8" t="n"/>
      <c r="K327" s="8" t="n"/>
      <c r="L327" s="8" t="n"/>
      <c r="M327" s="8" t="n"/>
      <c r="N327" s="17" t="n"/>
      <c r="O327" s="17" t="n"/>
      <c r="P327" s="17" t="n"/>
      <c r="Q327" s="17" t="n"/>
      <c r="R327" s="10">
        <f>IFERROR(_xlfn.XLOOKUP($A327,Profitability!$A$5:$A$342,Profitability!$Q$5:$Q$342),"na")</f>
        <v/>
      </c>
      <c r="S327" s="10">
        <f>IFERROR(_xlfn.XLOOKUP($A327,Profitability!$A$5:$A$342,Profitability!$R$5:$R$342),"na")</f>
        <v/>
      </c>
      <c r="T327" s="8" t="inlineStr">
        <is>
          <t>Public</t>
        </is>
      </c>
      <c r="U327" s="8" t="inlineStr">
        <is>
          <t>Australia</t>
        </is>
      </c>
      <c r="V327" s="9" t="n">
        <v>2018</v>
      </c>
      <c r="W327" s="10" t="inlineStr">
        <is>
          <t>-</t>
        </is>
      </c>
      <c r="X327" s="11" t="n">
        <v>393.626999999999</v>
      </c>
      <c r="Y327" s="8" t="inlineStr">
        <is>
          <t>Pacific</t>
        </is>
      </c>
      <c r="Z327" s="8" t="inlineStr">
        <is>
          <t>Victoria (VIC)</t>
        </is>
      </c>
      <c r="AA327" s="11" t="n">
        <v>1754.87004325143</v>
      </c>
      <c r="AB327" s="8" t="inlineStr">
        <is>
          <t>PEXA Group Ltd. engages in the development and provision of electronic conveyancing system. The company was founded on October 4, 2018 and is headquartered in Docklands, Australia.</t>
        </is>
      </c>
      <c r="AC327" s="8" t="inlineStr">
        <is>
          <t>Other Real Estate Investment and Services</t>
        </is>
      </c>
      <c r="AD327" s="8" t="inlineStr">
        <is>
          <t>Real Estate Investment and Services</t>
        </is>
      </c>
      <c r="AE327" s="8" t="inlineStr">
        <is>
          <t>Real Estate</t>
        </is>
      </c>
      <c r="AF327" s="12" t="inlineStr">
        <is>
          <t>Other Real Estate Investment and Services</t>
        </is>
      </c>
      <c r="AH327" t="n">
        <v>0</v>
      </c>
      <c r="AI327" t="n">
        <v>1</v>
      </c>
      <c r="AJ327" t="inlineStr">
        <is>
          <t>Scope 1:  0.49 tonnes (&lt;1% of total emissions)</t>
        </is>
      </c>
      <c r="AK327" t="n">
        <v>200</v>
      </c>
      <c r="AL327" t="n">
        <v>1</v>
      </c>
      <c r="AM327" t="inlineStr">
        <is>
          <t>•Scope 1:  0.49 tonnes (&lt;1% of total emissions)
•Scope 2:  199.5 tonnes (market based, 2% of
total emissions)</t>
        </is>
      </c>
      <c r="AN327" t="n">
        <v>9370</v>
      </c>
      <c r="AO327" t="n">
        <v>1</v>
      </c>
      <c r="AP327" t="inlineStr">
        <is>
          <t>total emissions)
•Scope 3:  9170.5 tonnes (largest contributor at 98% of
total emissions)Our total gross carbon footprint was 9,370.5 tonnes,</t>
        </is>
      </c>
      <c r="AQ327" t="n">
        <v>7</v>
      </c>
      <c r="AR327" t="n">
        <v>-0.193287</v>
      </c>
      <c r="AS327" t="n">
        <v>0.017783</v>
      </c>
    </row>
    <row r="328" ht="15" customHeight="1">
      <c r="A328" s="8" t="inlineStr">
        <is>
          <t>HCW-AU</t>
        </is>
      </c>
      <c r="B328" s="8" t="inlineStr">
        <is>
          <t>HealthCo Healthcare &amp; Wellness REIT</t>
        </is>
      </c>
      <c r="C328" s="8" t="n"/>
      <c r="D328" s="8" t="n"/>
      <c r="E328" s="8" t="n"/>
      <c r="F328" s="8" t="n"/>
      <c r="G328" s="8" t="n"/>
      <c r="H328" s="8" t="n"/>
      <c r="I328" s="8" t="n"/>
      <c r="J328" s="8" t="n"/>
      <c r="K328" s="8" t="n"/>
      <c r="L328" s="8" t="n"/>
      <c r="M328" s="8" t="n"/>
      <c r="N328" s="17" t="n"/>
      <c r="O328" s="17" t="n"/>
      <c r="P328" s="17" t="n"/>
      <c r="Q328" s="17" t="n"/>
      <c r="R328" s="10">
        <f>IFERROR(_xlfn.XLOOKUP($A328,Profitability!$A$5:$A$342,Profitability!$Q$5:$Q$342),"na")</f>
        <v/>
      </c>
      <c r="S328" s="10">
        <f>IFERROR(_xlfn.XLOOKUP($A328,Profitability!$A$5:$A$342,Profitability!$R$5:$R$342),"na")</f>
        <v/>
      </c>
      <c r="T328" s="8" t="inlineStr">
        <is>
          <t>Public</t>
        </is>
      </c>
      <c r="U328" s="8" t="inlineStr">
        <is>
          <t>Australia</t>
        </is>
      </c>
      <c r="V328" s="9" t="n">
        <v>2021</v>
      </c>
      <c r="W328" s="10" t="inlineStr">
        <is>
          <t>-</t>
        </is>
      </c>
      <c r="X328" s="11" t="n">
        <v>61.5</v>
      </c>
      <c r="Y328" s="8" t="inlineStr">
        <is>
          <t>Pacific</t>
        </is>
      </c>
      <c r="Z328" s="8" t="inlineStr">
        <is>
          <t>New South Wales (NSW)</t>
        </is>
      </c>
      <c r="AA328" s="11" t="n">
        <v>1272.80003137009</v>
      </c>
      <c r="AB328" s="8" t="inlineStr">
        <is>
          <t>HealthCo Healthcare &amp; Wellness REIT is a managed investment scheme company. It invests in various portfolios including hospitals, aged care, childcare, government, life sciences and research, and primary care and wellness property assets, as well as other healthcare and property adjacencies. The company was founded in the year 2021 and is headquartered in Sydney, Australia.</t>
        </is>
      </c>
      <c r="AC328" s="8" t="inlineStr">
        <is>
          <t>Equity REITs</t>
        </is>
      </c>
      <c r="AD328" s="8" t="inlineStr">
        <is>
          <t>Real Estate Investment Trusts (REITs)</t>
        </is>
      </c>
      <c r="AE328" s="8" t="inlineStr">
        <is>
          <t>Real Estate</t>
        </is>
      </c>
      <c r="AF328" s="12" t="inlineStr">
        <is>
          <t>Equity REITs</t>
        </is>
      </c>
      <c r="AR328" t="n">
        <v>-1.443902</v>
      </c>
    </row>
    <row r="329" ht="15" customHeight="1">
      <c r="A329" s="8" t="inlineStr">
        <is>
          <t>IREN-US</t>
        </is>
      </c>
      <c r="B329" s="8" t="inlineStr">
        <is>
          <t>IREN Ltd.</t>
        </is>
      </c>
      <c r="C329" s="8" t="n"/>
      <c r="D329" s="8" t="n"/>
      <c r="E329" s="8" t="n"/>
      <c r="F329" s="8" t="n"/>
      <c r="G329" s="8" t="n"/>
      <c r="H329" s="8" t="n"/>
      <c r="I329" s="8" t="n"/>
      <c r="J329" s="8" t="n"/>
      <c r="K329" s="8" t="n"/>
      <c r="L329" s="8" t="n"/>
      <c r="M329" s="8" t="n"/>
      <c r="N329" s="17" t="n"/>
      <c r="O329" s="17" t="n"/>
      <c r="P329" s="17" t="n"/>
      <c r="Q329" s="17" t="n"/>
      <c r="R329" s="10">
        <f>IFERROR(_xlfn.XLOOKUP($A329,Profitability!$A$5:$A$342,Profitability!$Q$5:$Q$342),"na")</f>
        <v/>
      </c>
      <c r="S329" s="10">
        <f>IFERROR(_xlfn.XLOOKUP($A329,Profitability!$A$5:$A$342,Profitability!$R$5:$R$342),"na")</f>
        <v/>
      </c>
      <c r="T329" s="8" t="inlineStr">
        <is>
          <t>Public</t>
        </is>
      </c>
      <c r="U329" s="8" t="inlineStr">
        <is>
          <t>Australia</t>
        </is>
      </c>
      <c r="V329" s="9" t="n">
        <v>2018</v>
      </c>
      <c r="W329" s="10" t="n">
        <v>457</v>
      </c>
      <c r="X329" s="11" t="n">
        <v>495.834000002169</v>
      </c>
      <c r="Y329" s="8" t="inlineStr">
        <is>
          <t>Pacific</t>
        </is>
      </c>
      <c r="Z329" s="8" t="inlineStr">
        <is>
          <t>New South Wales (NSW)</t>
        </is>
      </c>
      <c r="AA329" s="11" t="n">
        <v>3111.92200001966</v>
      </c>
      <c r="AB329" s="8" t="inlineStr">
        <is>
          <t>IREN Ltd. is a vertically integrated data center business powering the future of Bitcoin, AI and beyond with renewable energy. It is strategically located in renewable-rich, fiber-connected regions across the US and Canada. IREN’s large-scale, grid-connected facilities are purpose-built for the next generation of power-dense computing applications. The company was founded by Daniel Roberts and William Roberts on November 6, 2018, and is headquartered in Sydney, Australia.</t>
        </is>
      </c>
      <c r="AC329" s="8" t="inlineStr">
        <is>
          <t>Consumer Finance Services</t>
        </is>
      </c>
      <c r="AD329" s="8" t="inlineStr">
        <is>
          <t>Specialty Finance</t>
        </is>
      </c>
      <c r="AE329" s="8" t="inlineStr">
        <is>
          <t>Specialty Finance and Services</t>
        </is>
      </c>
      <c r="AF329" s="12" t="inlineStr">
        <is>
          <t>Cryptocurrency Mining</t>
        </is>
      </c>
      <c r="AH329" t="n">
        <v>3415895</v>
      </c>
      <c r="AI329" t="n">
        <v>1</v>
      </c>
      <c r="AJ329" t="inlineStr">
        <is>
          <t>Total,"3,415,895"</t>
        </is>
      </c>
      <c r="AK329" t="n">
        <v>114197</v>
      </c>
      <c r="AL329" t="n">
        <v>1</v>
      </c>
      <c r="AM329" t="inlineStr">
        <is>
          <t>Total GHG emissions (market-based),"7,176,997"</t>
        </is>
      </c>
      <c r="AN329" t="n">
        <v>3557464</v>
      </c>
      <c r="AO329" t="n">
        <v>1</v>
      </c>
      <c r="AP329" t="inlineStr">
        <is>
          <t>Total,"3,557,464"</t>
        </is>
      </c>
      <c r="AQ329" t="n">
        <v>1</v>
      </c>
      <c r="AR329" t="n">
        <v>0.270745</v>
      </c>
      <c r="AS329" t="n">
        <v>0.002017</v>
      </c>
    </row>
    <row r="330" ht="15" customHeight="1">
      <c r="A330" s="8" t="inlineStr">
        <is>
          <t>TLC-AU</t>
        </is>
      </c>
      <c r="B330" s="8" t="inlineStr">
        <is>
          <t>The Lottery Corp. Ltd.</t>
        </is>
      </c>
      <c r="C330" s="8" t="n"/>
      <c r="D330" s="8" t="n"/>
      <c r="E330" s="8" t="n"/>
      <c r="F330" s="8" t="n"/>
      <c r="G330" s="8" t="n"/>
      <c r="H330" s="8" t="n"/>
      <c r="I330" s="8" t="n"/>
      <c r="J330" s="8" t="n"/>
      <c r="K330" s="8" t="n"/>
      <c r="L330" s="8" t="n"/>
      <c r="M330" s="8" t="n"/>
      <c r="N330" s="17" t="n"/>
      <c r="O330" s="17" t="n"/>
      <c r="P330" s="17" t="n"/>
      <c r="Q330" s="17" t="n"/>
      <c r="R330" s="10">
        <f>IFERROR(_xlfn.XLOOKUP($A330,Profitability!$A$5:$A$342,Profitability!$Q$5:$Q$342),"na")</f>
        <v/>
      </c>
      <c r="S330" s="10">
        <f>IFERROR(_xlfn.XLOOKUP($A330,Profitability!$A$5:$A$342,Profitability!$R$5:$R$342),"na")</f>
        <v/>
      </c>
      <c r="T330" s="8" t="inlineStr">
        <is>
          <t>Public</t>
        </is>
      </c>
      <c r="U330" s="8" t="inlineStr">
        <is>
          <t>Australia</t>
        </is>
      </c>
      <c r="V330" s="9" t="n">
        <v>1998</v>
      </c>
      <c r="W330" s="10" t="n">
        <v>900</v>
      </c>
      <c r="X330" s="11" t="n">
        <v>3727.19999999999</v>
      </c>
      <c r="Y330" s="8" t="inlineStr">
        <is>
          <t>Pacific</t>
        </is>
      </c>
      <c r="Z330" s="8" t="inlineStr">
        <is>
          <t>Queensland (QLD)</t>
        </is>
      </c>
      <c r="AA330" s="11" t="n">
        <v>4405.20010857284</v>
      </c>
      <c r="AB330" s="8" t="inlineStr">
        <is>
          <t>The Lottery Corp. Ltd. engages in the provision of gaming and entertainment services. It operates through the Lotteries and Keno segments. The company was founded in 1881 and is headquartered in Brisbane, Australia.</t>
        </is>
      </c>
      <c r="AC330" s="8" t="inlineStr">
        <is>
          <t>Arts, Entertainment and Recreation Providers</t>
        </is>
      </c>
      <c r="AD330" s="8" t="inlineStr">
        <is>
          <t>Hospitality Services</t>
        </is>
      </c>
      <c r="AE330" s="8" t="inlineStr">
        <is>
          <t>Hospitality Services</t>
        </is>
      </c>
      <c r="AF330" s="12" t="inlineStr">
        <is>
          <t>Gaming Industries</t>
        </is>
      </c>
      <c r="AH330" t="n">
        <v>2030000</v>
      </c>
      <c r="AI330" t="n">
        <v>1</v>
      </c>
      <c r="AJ330" t="inlineStr">
        <is>
          <t>Net Zero 2030
Scope 1 and 2 roadmap developed
↑ 2% from FY24</t>
        </is>
      </c>
      <c r="AK330" t="n">
        <v>310</v>
      </c>
      <c r="AL330" t="n">
        <v>1</v>
      </c>
      <c r="AM330" t="inlineStr">
        <is>
          <t>Engagement
0.31%
Lotteries Responsible</t>
        </is>
      </c>
      <c r="AN330" t="n">
        <v>39787</v>
      </c>
      <c r="AO330" t="n">
        <v>1</v>
      </c>
      <c r="AP330" t="inlineStr">
        <is>
          <t>emissions profile.
We estimated our total Scope 3 emissions to be 39,787
tonnes CO2-e(i) in FY25.FY23 FY25Electricity consumption</t>
        </is>
      </c>
      <c r="AQ330" t="n">
        <v>12</v>
      </c>
      <c r="AR330" t="n">
        <v>0.098063</v>
      </c>
      <c r="AS330" t="n">
        <v>0.00322</v>
      </c>
    </row>
    <row r="331" ht="15" customHeight="1">
      <c r="A331" s="8" t="inlineStr">
        <is>
          <t>RPL-AU</t>
        </is>
      </c>
      <c r="B331" s="8" t="inlineStr">
        <is>
          <t>Regal Partners Ltd.</t>
        </is>
      </c>
      <c r="C331" s="8" t="n"/>
      <c r="D331" s="8" t="n"/>
      <c r="E331" s="8" t="n"/>
      <c r="F331" s="8" t="n"/>
      <c r="G331" s="8" t="n"/>
      <c r="H331" s="8" t="n"/>
      <c r="I331" s="8" t="n"/>
      <c r="J331" s="8" t="n"/>
      <c r="K331" s="8" t="n"/>
      <c r="L331" s="8" t="n"/>
      <c r="M331" s="8" t="n"/>
      <c r="N331" s="17" t="n"/>
      <c r="O331" s="17" t="n"/>
      <c r="P331" s="17" t="n"/>
      <c r="Q331" s="17" t="n"/>
      <c r="R331" s="10">
        <f>IFERROR(_xlfn.XLOOKUP($A331,Profitability!$A$5:$A$342,Profitability!$Q$5:$Q$342),"na")</f>
        <v/>
      </c>
      <c r="S331" s="10">
        <f>IFERROR(_xlfn.XLOOKUP($A331,Profitability!$A$5:$A$342,Profitability!$R$5:$R$342),"na")</f>
        <v/>
      </c>
      <c r="T331" s="8" t="inlineStr">
        <is>
          <t>Public</t>
        </is>
      </c>
      <c r="U331" s="8" t="inlineStr">
        <is>
          <t>Australia</t>
        </is>
      </c>
      <c r="V331" s="9" t="n">
        <v>2008</v>
      </c>
      <c r="W331" s="10" t="inlineStr">
        <is>
          <t>-</t>
        </is>
      </c>
      <c r="X331" s="11" t="n">
        <v>253.195999999999</v>
      </c>
      <c r="Y331" s="8" t="inlineStr">
        <is>
          <t>Pacific</t>
        </is>
      </c>
      <c r="Z331" s="8" t="inlineStr">
        <is>
          <t>New South Wales (NSW)</t>
        </is>
      </c>
      <c r="AA331" s="11" t="n">
        <v>949.218970556881</v>
      </c>
      <c r="AB331" s="8" t="inlineStr">
        <is>
          <t>Regal Partners Ltd. engages in the provision of investment management services. It offers access to a diverse range of strategies covering hedge funds, private markets and real assets. The company is headquartered in Sydney, Australia.</t>
        </is>
      </c>
      <c r="AC331" s="8" t="inlineStr">
        <is>
          <t>Asset Management and Financial Advisory Services</t>
        </is>
      </c>
      <c r="AD331" s="8" t="inlineStr">
        <is>
          <t>Investment Services</t>
        </is>
      </c>
      <c r="AE331" s="8" t="inlineStr">
        <is>
          <t>Investment Services</t>
        </is>
      </c>
      <c r="AF331" s="12" t="inlineStr">
        <is>
          <t>Alternative Investment Managers</t>
        </is>
      </c>
      <c r="AR331" t="n">
        <v>0.261616</v>
      </c>
    </row>
    <row r="332" ht="15" customHeight="1">
      <c r="A332" s="8" t="inlineStr">
        <is>
          <t>GYG-AU</t>
        </is>
      </c>
      <c r="B332" s="8" t="inlineStr">
        <is>
          <t>Guzman y Gomez Ltd.</t>
        </is>
      </c>
      <c r="C332" s="8" t="n"/>
      <c r="G332" s="8" t="n"/>
      <c r="H332" s="8" t="n"/>
      <c r="I332" s="8" t="n"/>
      <c r="J332" s="8" t="n"/>
      <c r="K332" s="8" t="n"/>
      <c r="L332" s="8" t="n"/>
      <c r="M332" s="8" t="n"/>
      <c r="N332" s="17" t="n"/>
      <c r="O332" s="17" t="n"/>
      <c r="P332" s="17" t="n"/>
      <c r="Q332" s="17" t="n"/>
      <c r="R332" s="10">
        <f>IFERROR(_xlfn.XLOOKUP($A332,Profitability!$A$5:$A$342,Profitability!$Q$5:$Q$342),"na")</f>
        <v/>
      </c>
      <c r="S332" s="10">
        <f>IFERROR(_xlfn.XLOOKUP($A332,Profitability!$A$5:$A$342,Profitability!$R$5:$R$342),"na")</f>
        <v/>
      </c>
      <c r="T332" s="8" t="inlineStr">
        <is>
          <t>Public</t>
        </is>
      </c>
      <c r="U332" s="8" t="inlineStr">
        <is>
          <t>Australia</t>
        </is>
      </c>
      <c r="V332" s="9" t="n">
        <v>2007</v>
      </c>
      <c r="W332" s="10" t="n">
        <v>13000</v>
      </c>
      <c r="X332" s="11" t="n">
        <v>435.982</v>
      </c>
      <c r="Y332" s="8" t="inlineStr">
        <is>
          <t>Pacific</t>
        </is>
      </c>
      <c r="Z332" s="8" t="inlineStr">
        <is>
          <t>New South Wales (NSW)</t>
        </is>
      </c>
      <c r="AA332" s="11" t="n">
        <v>869.33902142618</v>
      </c>
      <c r="AB332" s="8" t="inlineStr">
        <is>
          <t>Guzman y Gomez Ltd. engages in delivering clean, fresh, made-to-order, Mexican-inspired food. It operates through Australia and US geographical segments. The Australia segment includes the Australian corporate restaurants and the royalty and other revenue from all franchise restaurants, including those in Japan and Singapore. The US segment consists of the US corporate restaurants and associated administrative costs incurred in the US, including that of non-restaurant personnel based in the US. The company was founded by Steven Marks and Robert Hazan in 2005 and is headquartered in Sydney, Australia.</t>
        </is>
      </c>
      <c r="AC332" s="8" t="inlineStr">
        <is>
          <t>Restaurants and Bars</t>
        </is>
      </c>
      <c r="AD332" s="8" t="inlineStr">
        <is>
          <t>Hospitality Services</t>
        </is>
      </c>
      <c r="AE332" s="8" t="inlineStr">
        <is>
          <t>Hospitality Services</t>
        </is>
      </c>
      <c r="AF332" s="12" t="inlineStr">
        <is>
          <t>Limited-Service and Fast Food Restaurants</t>
        </is>
      </c>
      <c r="AH332" t="n">
        <v>4651</v>
      </c>
      <c r="AI332" t="n">
        <v>1</v>
      </c>
      <c r="AJ332" t="inlineStr">
        <is>
          <t>,,,,into performance during a period of rapid expansion.
Scope 1,"4,651","4,518",3%,This enables GYG to track efficiency gains and support
,,,,decarbonisation efforts as the company scales.</t>
        </is>
      </c>
      <c r="AK332" t="n">
        <v>11697</v>
      </c>
      <c r="AL332" t="n">
        <v>1</v>
      </c>
      <c r="AM332" t="inlineStr">
        <is>
          <t>,,,,decarbonisation efforts as the company scales.
Scope 2,"11,697","9,886",18%,
Total Scope 1,,,,Emissions intensity per restaurant (Australia and US)</t>
        </is>
      </c>
      <c r="AN332" t="n">
        <v>0</v>
      </c>
      <c r="AQ332" t="n">
        <v>0</v>
      </c>
      <c r="AR332" t="n">
        <v>0.033203</v>
      </c>
      <c r="AS332" t="n">
        <v>0</v>
      </c>
    </row>
    <row r="333" ht="15" customHeight="1">
      <c r="A333" s="8" t="inlineStr">
        <is>
          <t>LGL-AU</t>
        </is>
      </c>
      <c r="B333" s="8" t="inlineStr">
        <is>
          <t>Lynch Group Holdings Ltd.</t>
        </is>
      </c>
      <c r="C333" s="8" t="n"/>
      <c r="D333" s="8" t="n"/>
      <c r="E333" s="8" t="n"/>
      <c r="F333" s="8" t="n"/>
      <c r="G333" s="8" t="n"/>
      <c r="H333" s="8" t="n"/>
      <c r="I333" s="8" t="n"/>
      <c r="J333" s="8" t="n"/>
      <c r="K333" s="8" t="n"/>
      <c r="L333" s="8" t="n"/>
      <c r="M333" s="8" t="n"/>
      <c r="N333" s="17" t="n"/>
      <c r="O333" s="17" t="n"/>
      <c r="P333" s="17" t="n"/>
      <c r="Q333" s="17" t="n"/>
      <c r="R333" s="10">
        <f>IFERROR(_xlfn.XLOOKUP($A333,Profitability!$A$5:$A$342,Profitability!$Q$5:$Q$342),"na")</f>
        <v/>
      </c>
      <c r="S333" s="10">
        <f>IFERROR(_xlfn.XLOOKUP($A333,Profitability!$A$5:$A$342,Profitability!$R$5:$R$342),"na")</f>
        <v/>
      </c>
      <c r="T333" s="8" t="inlineStr">
        <is>
          <t>Public</t>
        </is>
      </c>
      <c r="U333" s="8" t="inlineStr">
        <is>
          <t>Australia</t>
        </is>
      </c>
      <c r="V333" s="9" t="n">
        <v>2015</v>
      </c>
      <c r="W333" s="10" t="inlineStr">
        <is>
          <t>-</t>
        </is>
      </c>
      <c r="X333" s="11" t="n">
        <v>430.464999999999</v>
      </c>
      <c r="Y333" s="8" t="inlineStr">
        <is>
          <t>Pacific</t>
        </is>
      </c>
      <c r="Z333" s="8" t="inlineStr">
        <is>
          <t>New South Wales (NSW)</t>
        </is>
      </c>
      <c r="AA333" s="11" t="n">
        <v>342.588008443602</v>
      </c>
      <c r="AB333" s="8" t="inlineStr">
        <is>
          <t>Lynch Group Holdings Ltd. engages in the horticultural production and wholesale of flowers and plants. It operates through Australia and China geographical segments. The Australia segment focuses on vertically integrated production farm and wholesale operation in Australia. The China segment is involved in the production of farm and distribution operation in China, primarily supplying the domestic China market as well as the Australian segment. The company was founded in 1915 and is headquartered in Ingleburn, Australia.</t>
        </is>
      </c>
      <c r="AC333" s="8" t="inlineStr">
        <is>
          <t>Crop Production</t>
        </is>
      </c>
      <c r="AD333" s="8" t="inlineStr">
        <is>
          <t>Agriculture</t>
        </is>
      </c>
      <c r="AE333" s="8" t="inlineStr">
        <is>
          <t>Food and Tobacco Production</t>
        </is>
      </c>
      <c r="AF333" s="12" t="inlineStr">
        <is>
          <t>Other Farming</t>
        </is>
      </c>
      <c r="AH333" t="n">
        <v>39227</v>
      </c>
      <c r="AJ333" t="inlineStr">
        <is>
          <t>Citation(s): [19]</t>
        </is>
      </c>
      <c r="AK333" t="n">
        <v>11991</v>
      </c>
      <c r="AM333" t="inlineStr">
        <is>
          <t>Citation(s): [19]</t>
        </is>
      </c>
      <c r="AN333" t="n">
        <v>23723</v>
      </c>
      <c r="AP333" t="inlineStr">
        <is>
          <t>Includes selected emissions only (air, sea, and road transport). Citation(s): [19]</t>
        </is>
      </c>
      <c r="AR333" t="n">
        <v>-0.009365</v>
      </c>
    </row>
    <row r="334" ht="15" customHeight="1">
      <c r="A334" s="8" t="inlineStr">
        <is>
          <t>ANZ-AU</t>
        </is>
      </c>
      <c r="B334" s="8" t="inlineStr">
        <is>
          <t>ANZ Group Holdings Ltd.</t>
        </is>
      </c>
      <c r="C334" s="8" t="n"/>
      <c r="D334" s="8" t="n"/>
      <c r="E334" s="8" t="n"/>
      <c r="F334" s="8" t="n"/>
      <c r="G334" s="8" t="n"/>
      <c r="H334" s="8" t="n"/>
      <c r="I334" s="8" t="n"/>
      <c r="J334" s="8" t="n"/>
      <c r="K334" s="8" t="n"/>
      <c r="L334" s="8" t="n"/>
      <c r="M334" s="8" t="n"/>
      <c r="N334" s="17" t="n"/>
      <c r="O334" s="17" t="n"/>
      <c r="P334" s="10" t="n">
        <v>4074</v>
      </c>
      <c r="Q334" s="10" t="n">
        <v>56452</v>
      </c>
      <c r="R334" s="10">
        <f>IFERROR(_xlfn.XLOOKUP($A334,Profitability!$A$5:$A$342,Profitability!$Q$5:$Q$342),"na")</f>
        <v/>
      </c>
      <c r="S334" s="10">
        <f>IFERROR(_xlfn.XLOOKUP($A334,Profitability!$A$5:$A$342,Profitability!$R$5:$R$342),"na")</f>
        <v/>
      </c>
      <c r="T334" s="8" t="inlineStr">
        <is>
          <t>Public</t>
        </is>
      </c>
      <c r="U334" s="8" t="inlineStr">
        <is>
          <t>Australia</t>
        </is>
      </c>
      <c r="V334" s="9" t="n">
        <v>1835</v>
      </c>
      <c r="W334" s="10" t="n">
        <v>42370</v>
      </c>
      <c r="X334" s="11" t="n">
        <v>66096</v>
      </c>
      <c r="Y334" s="8" t="inlineStr">
        <is>
          <t>Pacific</t>
        </is>
      </c>
      <c r="Z334" s="8" t="inlineStr">
        <is>
          <t>Victoria (VIC)</t>
        </is>
      </c>
      <c r="AA334" s="11" t="n">
        <v>1229115.02106252</v>
      </c>
      <c r="AB334" s="8" t="inlineStr">
        <is>
          <t>ANZ Group Holdings Ltd. operates as a non-operating holding company. The company provides banking, financial products, and services to retail and business customers. It operates through the following segments: Australia Retail, Australia Commercial, Institutional, New Zealand, Pacific, and Group Centre. The Australia Retail segment provides a full range of banking services to Australian consumers. The Australia Commercial segment refers to a range of banking products and financial services. The Institutional segment is involved in transaction banking, corporate finance, and markets. The New Zealand segment consist of Personal and Business and Agri units. The Personal unit provides a full range of banking and wealth management services to consumer and private banking customers. The Business and Agri unit refer to a range of banking services through digital, branch and contact center channels, and traditional relationship banking. The Pacific segment focuses on products and services to retail, commercial customers, and to governments located in the Pacific region. The Group Centre segment provides support to the operating divisions, including technology, property, risk management, financial management, treasury, strategy, marketing, human resources, corporate affairs, and shareholder functions. The company was founded on 1835 and is headquartered in Docklands, Australia.</t>
        </is>
      </c>
      <c r="AC334" s="8" t="inlineStr">
        <is>
          <t>Asia/Pacific Banks</t>
        </is>
      </c>
      <c r="AD334" s="8" t="inlineStr">
        <is>
          <t>International Banks</t>
        </is>
      </c>
      <c r="AE334" s="8" t="inlineStr">
        <is>
          <t>Banking</t>
        </is>
      </c>
      <c r="AF334" s="12" t="inlineStr">
        <is>
          <t>Australia and New Zealand Banks</t>
        </is>
      </c>
      <c r="AR334" t="n">
        <v>0.089128</v>
      </c>
    </row>
    <row r="335" ht="15" customHeight="1">
      <c r="A335" s="8" t="inlineStr">
        <is>
          <t>ASK-AU</t>
        </is>
      </c>
      <c r="B335" s="8" t="inlineStr">
        <is>
          <t>Abacus Storage King</t>
        </is>
      </c>
      <c r="C335" s="8" t="n"/>
      <c r="D335" s="8" t="n"/>
      <c r="E335" s="8" t="n"/>
      <c r="F335" s="8" t="n"/>
      <c r="G335" s="8" t="n"/>
      <c r="H335" s="8" t="n"/>
      <c r="I335" s="8" t="n"/>
      <c r="J335" s="8" t="n"/>
      <c r="K335" s="8" t="n"/>
      <c r="L335" s="8" t="n"/>
      <c r="M335" s="8" t="n"/>
      <c r="N335" s="17" t="n"/>
      <c r="O335" s="17" t="n"/>
      <c r="P335" s="17" t="n"/>
      <c r="Q335" s="17" t="n"/>
      <c r="R335" s="10">
        <f>IFERROR(_xlfn.XLOOKUP($A335,Profitability!$A$5:$A$342,Profitability!$Q$5:$Q$342),"na")</f>
        <v/>
      </c>
      <c r="S335" s="10">
        <f>IFERROR(_xlfn.XLOOKUP($A335,Profitability!$A$5:$A$342,Profitability!$R$5:$R$342),"na")</f>
        <v/>
      </c>
      <c r="T335" s="8" t="inlineStr">
        <is>
          <t>Public</t>
        </is>
      </c>
      <c r="U335" s="8" t="inlineStr">
        <is>
          <t>Australia</t>
        </is>
      </c>
      <c r="V335" s="9" t="inlineStr">
        <is>
          <t>-</t>
        </is>
      </c>
      <c r="W335" s="10" t="inlineStr">
        <is>
          <t>-</t>
        </is>
      </c>
      <c r="X335" s="11" t="n">
        <v>247.257999999999</v>
      </c>
      <c r="Y335" s="8" t="inlineStr">
        <is>
          <t>Pacific</t>
        </is>
      </c>
      <c r="Z335" s="8" t="inlineStr">
        <is>
          <t>New South Wales (NSW)</t>
        </is>
      </c>
      <c r="AA335" s="11" t="n">
        <v>3616.81908914199</v>
      </c>
      <c r="AB335" s="8" t="inlineStr">
        <is>
          <t>Abacus Storage King REIT is a real estate investment trust. The company is headquartered in Sydney, Australia.</t>
        </is>
      </c>
      <c r="AC335" s="8" t="inlineStr">
        <is>
          <t>Equity REITs</t>
        </is>
      </c>
      <c r="AD335" s="8" t="inlineStr">
        <is>
          <t>Real Estate Investment Trusts (REITs)</t>
        </is>
      </c>
      <c r="AE335" s="8" t="inlineStr">
        <is>
          <t>Real Estate</t>
        </is>
      </c>
      <c r="AF335" s="12" t="inlineStr">
        <is>
          <t>Equity REITs</t>
        </is>
      </c>
      <c r="AR335" t="n">
        <v>1.169002</v>
      </c>
    </row>
    <row r="336" ht="15" customHeight="1">
      <c r="A336" s="8" t="inlineStr">
        <is>
          <t>SYL-AU</t>
        </is>
      </c>
      <c r="B336" s="8" t="inlineStr">
        <is>
          <t>Symal Group Ltd.</t>
        </is>
      </c>
      <c r="C336" s="8" t="n"/>
      <c r="D336" s="8" t="n"/>
      <c r="E336" s="8" t="n"/>
      <c r="F336" s="8" t="n"/>
      <c r="G336" s="8" t="n"/>
      <c r="H336" s="8" t="n"/>
      <c r="I336" s="8" t="n"/>
      <c r="J336" s="8" t="n"/>
      <c r="K336" s="8" t="n"/>
      <c r="L336" s="8" t="n"/>
      <c r="M336" s="8" t="n"/>
      <c r="N336" s="17" t="n"/>
      <c r="O336" s="17" t="n"/>
      <c r="P336" s="17" t="n"/>
      <c r="Q336" s="17" t="n"/>
      <c r="R336" s="10">
        <f>IFERROR(_xlfn.XLOOKUP($A336,Profitability!$A$5:$A$342,Profitability!$Q$5:$Q$342),"na")</f>
        <v/>
      </c>
      <c r="S336" s="10">
        <f>IFERROR(_xlfn.XLOOKUP($A336,Profitability!$A$5:$A$342,Profitability!$R$5:$R$342),"na")</f>
        <v/>
      </c>
      <c r="T336" s="8" t="inlineStr">
        <is>
          <t>Public</t>
        </is>
      </c>
      <c r="U336" s="8" t="inlineStr">
        <is>
          <t>Australia</t>
        </is>
      </c>
      <c r="V336" s="9" t="n">
        <v>2016</v>
      </c>
      <c r="W336" s="10" t="n">
        <v>1300</v>
      </c>
      <c r="X336" s="11" t="n">
        <v>879.599999999999</v>
      </c>
      <c r="Y336" s="8" t="inlineStr">
        <is>
          <t>Pacific</t>
        </is>
      </c>
      <c r="Z336" s="8" t="inlineStr">
        <is>
          <t>Victoria (VIC)</t>
        </is>
      </c>
      <c r="AA336" s="11" t="n">
        <v>572.459014109122</v>
      </c>
      <c r="AB336" s="8" t="inlineStr">
        <is>
          <t>Symal Group Ltd. engages in the provision of construction services. The firm specializes in civil infrastructure and offers a range of services, including contracting, plant and equipment hire, material sales, recycling, and remediation. It provides end-to-end civil construction solutions across the entire project lifecycle through its main brands: Symal, Sycle, Unyte, and Wamarra. The company was founded by Joe Bartolo in 2001 and is headquartered in Melbourne, Australia.</t>
        </is>
      </c>
      <c r="AC336" s="8" t="inlineStr">
        <is>
          <t>Infrastructure Construction/Contracting Services</t>
        </is>
      </c>
      <c r="AD336" s="8" t="inlineStr">
        <is>
          <t>Facilities and Construction Services</t>
        </is>
      </c>
      <c r="AE336" s="8" t="inlineStr">
        <is>
          <t>Industrial Services</t>
        </is>
      </c>
      <c r="AF336" s="12" t="inlineStr">
        <is>
          <t>Infrastructure Construction</t>
        </is>
      </c>
      <c r="AR336" t="n">
        <v>0.039384</v>
      </c>
    </row>
    <row r="337" ht="15" customHeight="1">
      <c r="A337" s="8" t="inlineStr">
        <is>
          <t>TEA-AU</t>
        </is>
      </c>
      <c r="B337" s="8" t="inlineStr">
        <is>
          <t>Tasmea Ltd.</t>
        </is>
      </c>
      <c r="C337" s="8" t="n"/>
      <c r="D337" s="8" t="n"/>
      <c r="E337" s="8" t="n"/>
      <c r="F337" s="8" t="n"/>
      <c r="G337" s="8" t="n"/>
      <c r="H337" s="8" t="n"/>
      <c r="I337" s="8" t="n"/>
      <c r="J337" s="8" t="n"/>
      <c r="K337" s="8" t="n"/>
      <c r="L337" s="8" t="n"/>
      <c r="M337" s="8" t="n"/>
      <c r="N337" s="17" t="n"/>
      <c r="O337" s="17" t="n"/>
      <c r="P337" s="17" t="n"/>
      <c r="Q337" s="17" t="n"/>
      <c r="R337" s="10">
        <f>IFERROR(_xlfn.XLOOKUP($A337,Profitability!$A$5:$A$342,Profitability!$Q$5:$Q$342),"na")</f>
        <v/>
      </c>
      <c r="S337" s="10">
        <f>IFERROR(_xlfn.XLOOKUP($A337,Profitability!$A$5:$A$342,Profitability!$R$5:$R$342),"na")</f>
        <v/>
      </c>
      <c r="T337" s="8" t="inlineStr">
        <is>
          <t>Public</t>
        </is>
      </c>
      <c r="U337" s="8" t="inlineStr">
        <is>
          <t>Australia</t>
        </is>
      </c>
      <c r="V337" s="9" t="n">
        <v>1999</v>
      </c>
      <c r="W337" s="10" t="n">
        <v>1800</v>
      </c>
      <c r="X337" s="11" t="n">
        <v>547.913999999999</v>
      </c>
      <c r="Y337" s="8" t="inlineStr">
        <is>
          <t>Pacific</t>
        </is>
      </c>
      <c r="Z337" s="8" t="inlineStr">
        <is>
          <t>Western Australia (WA)</t>
        </is>
      </c>
      <c r="AA337" s="11" t="n">
        <v>493.556012164438</v>
      </c>
      <c r="AB337" s="8" t="inlineStr">
        <is>
          <t>Tasmea Ltd. is a skilled services company, which engages in the provision of essential maintenance, engineering, and specialized project services and solutions across the following four service streams to the mining and resources, oil and gas, waste and water, power and renewable energy, and defense and infrastructure industries. It operates through the following segments: Electrical, Mechanical, Civil, Water and Fluid, and Corporate. Electrical refers to remote area specialist services in industrial and commercial electrical and instrumentation services, maintenance and compliance of electrical assets, and indigenous trade services. Mechanical focuses on remote area specialist services in industrial and commercial refurbishment and repairs, shutdown, and mechanical maintenance. Civil covers remote area specialists in commercial earthworks, waste management, and civil maintenance. Water and Fluid relate to remote area specialist services in industrial and commercial geomembrane solutions, lubrication solutions and maintenance, and drainage solutions. The company was founded by Stephen Elliot Young and Mark Gabriel Vartuli in 1999 and is headquartered in Jandakot, Australia.</t>
        </is>
      </c>
      <c r="AC337" s="8" t="inlineStr">
        <is>
          <t>Specialty Contracting Services</t>
        </is>
      </c>
      <c r="AD337" s="8" t="inlineStr">
        <is>
          <t>Facilities and Construction Services</t>
        </is>
      </c>
      <c r="AE337" s="8" t="inlineStr">
        <is>
          <t>Industrial Services</t>
        </is>
      </c>
      <c r="AF337" s="12" t="inlineStr">
        <is>
          <t>Specialty Engineering Contractors</t>
        </is>
      </c>
      <c r="AR337" t="n">
        <v>0.096858</v>
      </c>
    </row>
    <row r="338" ht="15" customHeight="1">
      <c r="A338" s="8" t="inlineStr">
        <is>
          <t>CVL-AU</t>
        </is>
      </c>
      <c r="B338" s="8" t="inlineStr">
        <is>
          <t>Civmec Ltd.</t>
        </is>
      </c>
      <c r="C338" s="8" t="n"/>
      <c r="D338" s="8" t="n"/>
      <c r="E338" s="8" t="n"/>
      <c r="F338" s="8" t="n"/>
      <c r="G338" s="8" t="n"/>
      <c r="H338" s="8" t="n"/>
      <c r="I338" s="8" t="n"/>
      <c r="J338" s="8" t="n"/>
      <c r="K338" s="8" t="n"/>
      <c r="L338" s="8" t="n"/>
      <c r="M338" s="8" t="n"/>
      <c r="N338" s="17" t="n"/>
      <c r="O338" s="17" t="n"/>
      <c r="P338" s="17" t="n"/>
      <c r="Q338" s="17" t="n"/>
      <c r="R338" s="10">
        <f>IFERROR(_xlfn.XLOOKUP($A338,Profitability!$A$5:$A$342,Profitability!$Q$5:$Q$342),"na")</f>
        <v/>
      </c>
      <c r="S338" s="10">
        <f>IFERROR(_xlfn.XLOOKUP($A338,Profitability!$A$5:$A$342,Profitability!$R$5:$R$342),"na")</f>
        <v/>
      </c>
      <c r="T338" s="8" t="inlineStr">
        <is>
          <t>Public</t>
        </is>
      </c>
      <c r="U338" s="8" t="inlineStr">
        <is>
          <t>Australia</t>
        </is>
      </c>
      <c r="V338" s="9" t="n">
        <v>2023</v>
      </c>
      <c r="W338" s="10" t="inlineStr">
        <is>
          <t>-</t>
        </is>
      </c>
      <c r="X338" s="11" t="n">
        <v>810.5860000029149</v>
      </c>
      <c r="Y338" s="8" t="inlineStr">
        <is>
          <t>Pacific</t>
        </is>
      </c>
      <c r="Z338" s="8" t="inlineStr">
        <is>
          <t>Western Australia (WA)</t>
        </is>
      </c>
      <c r="AA338" s="11" t="n">
        <v>911.899022475137</v>
      </c>
      <c r="AB338" s="8" t="inlineStr">
        <is>
          <t>Civmec Ltd. engages in the multidisciplinary construction and engineering services provider to the Energy, Resources, Infrastructure, Marine and Defence sectors. It vision is to grow sustainably, delivering mutually beneficial outcomes for all stakeholders. The company is headquartered in Henderson, Australia.</t>
        </is>
      </c>
      <c r="AC338" s="8" t="inlineStr">
        <is>
          <t>Specialty Contracting Services</t>
        </is>
      </c>
      <c r="AD338" s="8" t="inlineStr">
        <is>
          <t>Facilities and Construction Services</t>
        </is>
      </c>
      <c r="AE338" s="8" t="inlineStr">
        <is>
          <t>Industrial Services</t>
        </is>
      </c>
      <c r="AF338" s="12" t="inlineStr">
        <is>
          <t>Industrial Specialty Engineering Contractors</t>
        </is>
      </c>
      <c r="AH338" t="n">
        <v>1772</v>
      </c>
      <c r="AI338" t="n">
        <v>0.9</v>
      </c>
      <c r="AJ338" t="inlineStr">
        <is>
          <t>,,,91.4%,8.6%,,,,100%
"AIFR5
per million hours",,,gender7,,,,,</t>
        </is>
      </c>
      <c r="AK338" t="n">
        <v>5590</v>
      </c>
      <c r="AL338" t="n">
        <v>0.9</v>
      </c>
      <c r="AM338" t="inlineStr">
        <is>
          <t>as total % of office-",50.89%,Sustain,48.67%,,43.93%
,,,based employees,,FY24 result8,,,
"Significant environmental incidents</t>
        </is>
      </c>
      <c r="AN338" t="n">
        <v>0</v>
      </c>
      <c r="AQ338" t="n">
        <v>6</v>
      </c>
      <c r="AR338" t="n">
        <v>0.052476</v>
      </c>
      <c r="AS338" t="n">
        <v>0.007402</v>
      </c>
    </row>
    <row r="339" ht="15" customHeight="1">
      <c r="A339" s="8" t="inlineStr">
        <is>
          <t>DGT-AU</t>
        </is>
      </c>
      <c r="B339" s="8" t="inlineStr">
        <is>
          <t>DigiCo Infrastructure REIT</t>
        </is>
      </c>
      <c r="C339" s="8" t="n"/>
      <c r="D339" s="8" t="n"/>
      <c r="E339" s="8" t="n"/>
      <c r="F339" s="8" t="n"/>
      <c r="G339" s="8" t="n"/>
      <c r="H339" s="8" t="n"/>
      <c r="I339" s="8" t="n"/>
      <c r="J339" s="8" t="n"/>
      <c r="K339" s="8" t="n"/>
      <c r="L339" s="8" t="n"/>
      <c r="M339" s="8" t="n"/>
      <c r="N339" s="17" t="n"/>
      <c r="O339" s="17" t="n"/>
      <c r="P339" s="17" t="n"/>
      <c r="Q339" s="17" t="n"/>
      <c r="R339" s="10">
        <f>IFERROR(_xlfn.XLOOKUP($A339,Profitability!$A$5:$A$342,Profitability!$Q$5:$Q$342),"na")</f>
        <v/>
      </c>
      <c r="S339" s="10">
        <f>IFERROR(_xlfn.XLOOKUP($A339,Profitability!$A$5:$A$342,Profitability!$R$5:$R$342),"na")</f>
        <v/>
      </c>
      <c r="T339" s="8" t="inlineStr">
        <is>
          <t>Public</t>
        </is>
      </c>
      <c r="U339" s="8" t="inlineStr">
        <is>
          <t>Australia</t>
        </is>
      </c>
      <c r="V339" s="9" t="inlineStr">
        <is>
          <t>-</t>
        </is>
      </c>
      <c r="W339" s="10" t="inlineStr">
        <is>
          <t>-</t>
        </is>
      </c>
      <c r="X339" s="11" t="n">
        <v>113.9</v>
      </c>
      <c r="Y339" s="8" t="inlineStr">
        <is>
          <t>Pacific</t>
        </is>
      </c>
      <c r="Z339" s="8" t="inlineStr">
        <is>
          <t>New South Wales (NSW)</t>
        </is>
      </c>
      <c r="AA339" s="11" t="n">
        <v>4564.70011250396</v>
      </c>
      <c r="AB339" s="8" t="inlineStr">
        <is>
          <t>DigiCo Infrastructure REIT engages in the ownership, operation, and development of data centers, with a global portfolio and broad investment mandate across stabilized, value-add, and development opportunities. It is also involved in the ownership of data center properties with core and shell contracting structures that are leased to hyperscale and enterprise customers, as well as ownership, operation, and management of co-location data center assets, and greenfield and brownfield development of new data center assets across different business models. The company is headquartered in Sydney, Australia.</t>
        </is>
      </c>
      <c r="AC339" s="8" t="inlineStr">
        <is>
          <t>Equity REITs</t>
        </is>
      </c>
      <c r="AD339" s="8" t="inlineStr">
        <is>
          <t>Real Estate Investment Trusts (REITs)</t>
        </is>
      </c>
      <c r="AE339" s="8" t="inlineStr">
        <is>
          <t>Real Estate</t>
        </is>
      </c>
      <c r="AF339" s="12" t="inlineStr">
        <is>
          <t>Equity REITs</t>
        </is>
      </c>
      <c r="AR339" t="n">
        <v>-0.596137</v>
      </c>
    </row>
    <row r="340" ht="15" customHeight="1">
      <c r="A340" s="8" t="inlineStr">
        <is>
          <t>GLF-AU</t>
        </is>
      </c>
      <c r="B340" s="8" t="inlineStr">
        <is>
          <t>Gemlife Communities Group</t>
        </is>
      </c>
      <c r="C340" s="8" t="n"/>
      <c r="D340" s="8" t="n"/>
      <c r="E340" s="8" t="n"/>
      <c r="F340" s="8" t="n"/>
      <c r="G340" s="8" t="n"/>
      <c r="H340" s="8" t="n"/>
      <c r="I340" s="8" t="n"/>
      <c r="J340" s="8" t="n"/>
      <c r="K340" s="8" t="n"/>
      <c r="L340" s="8" t="n"/>
      <c r="M340" s="8" t="n"/>
      <c r="N340" s="17" t="n"/>
      <c r="O340" s="17" t="n"/>
      <c r="P340" s="17" t="n"/>
      <c r="Q340" s="17" t="n"/>
      <c r="R340" s="10">
        <f>IFERROR(_xlfn.XLOOKUP($A340,Profitability!$A$5:$A$342,Profitability!$Q$5:$Q$342),"na")</f>
        <v/>
      </c>
      <c r="S340" s="10">
        <f>IFERROR(_xlfn.XLOOKUP($A340,Profitability!$A$5:$A$342,Profitability!$R$5:$R$342),"na")</f>
        <v/>
      </c>
      <c r="T340" s="8" t="inlineStr">
        <is>
          <t>Public</t>
        </is>
      </c>
      <c r="U340" s="8" t="inlineStr">
        <is>
          <t>Australia</t>
        </is>
      </c>
      <c r="V340" s="9" t="n">
        <v>2015</v>
      </c>
      <c r="W340" s="10" t="inlineStr">
        <is>
          <t>-</t>
        </is>
      </c>
      <c r="X340" s="11" t="n">
        <v>267.5</v>
      </c>
      <c r="Y340" s="8" t="inlineStr">
        <is>
          <t>Pacific</t>
        </is>
      </c>
      <c r="Z340" s="8" t="inlineStr">
        <is>
          <t>Queensland (QLD)</t>
        </is>
      </c>
      <c r="AA340" s="11" t="n">
        <v>1376.69995729716</v>
      </c>
      <c r="AB340" s="8" t="inlineStr">
        <is>
          <t>Gemlife Communities Group engages in developing, building, owning, and operating a portfolio of land lease community assets. The company was founded in 2015 and is headquartered in Helensvale, Australia.</t>
        </is>
      </c>
      <c r="AC340" s="8" t="inlineStr">
        <is>
          <t>-</t>
        </is>
      </c>
      <c r="AD340" s="8" t="inlineStr">
        <is>
          <t>-</t>
        </is>
      </c>
      <c r="AE340" s="8" t="inlineStr">
        <is>
          <t>-</t>
        </is>
      </c>
      <c r="AF340" s="12" t="inlineStr">
        <is>
          <t>-</t>
        </is>
      </c>
      <c r="AR340" t="n">
        <v>0.20785</v>
      </c>
    </row>
    <row r="341" ht="15" customHeight="1">
      <c r="N341" s="18" t="n"/>
      <c r="O341" s="18" t="n"/>
      <c r="P341" s="18" t="n"/>
      <c r="Q341" s="18" t="n"/>
      <c r="R341" s="18" t="n"/>
      <c r="S341" s="18" t="n"/>
    </row>
    <row r="342" ht="15" customHeight="1">
      <c r="A342" s="6" t="inlineStr">
        <is>
          <t>END OF SHEET</t>
        </is>
      </c>
      <c r="B342" s="5" t="n"/>
      <c r="C342" s="5" t="n"/>
      <c r="D342" s="5" t="n"/>
      <c r="E342" s="5" t="n"/>
      <c r="F342" s="5" t="n"/>
      <c r="G342" s="5" t="n"/>
      <c r="H342" s="5" t="n"/>
      <c r="I342" s="5" t="n"/>
      <c r="J342" s="5" t="n"/>
      <c r="K342" s="5" t="n"/>
      <c r="L342" s="5" t="n"/>
      <c r="M342" s="5" t="n"/>
      <c r="N342" s="19" t="n"/>
      <c r="O342" s="19" t="n"/>
      <c r="P342" s="19" t="n"/>
      <c r="Q342" s="19" t="n"/>
      <c r="R342" s="19" t="n"/>
      <c r="S342" s="19" t="n"/>
      <c r="T342" s="5" t="n"/>
      <c r="U342" s="5" t="n"/>
      <c r="V342" s="5" t="n"/>
      <c r="W342" s="5" t="n"/>
      <c r="X342" s="5" t="n"/>
      <c r="Y342" s="5" t="n"/>
      <c r="Z342" s="5" t="n"/>
      <c r="AA342" s="5" t="n"/>
      <c r="AB342" s="5" t="n"/>
      <c r="AC342" s="5" t="n"/>
      <c r="AD342" s="5" t="n"/>
      <c r="AE342" s="5" t="n"/>
      <c r="AF342" s="5" t="n"/>
      <c r="AG342" s="5" t="n"/>
    </row>
  </sheetData>
  <autoFilter ref="A4:AF340">
    <sortState ref="A5:AF340">
      <sortCondition ref="F4:F340"/>
    </sortState>
  </autoFilter>
  <pageMargins left="0.75" right="0.75" top="1" bottom="1" header="0.5" footer="0.5"/>
  <pageSetup orientation="portrait"/>
</worksheet>
</file>

<file path=xl/worksheets/sheet2.xml><?xml version="1.0" encoding="utf-8"?>
<worksheet xmlns="http://schemas.openxmlformats.org/spreadsheetml/2006/main">
  <sheetPr>
    <outlinePr summaryRight="0"/>
    <pageSetUpPr/>
  </sheetPr>
  <dimension ref="A1:B10"/>
  <sheetViews>
    <sheetView workbookViewId="0">
      <selection activeCell="A1" sqref="A1"/>
    </sheetView>
  </sheetViews>
  <sheetFormatPr baseColWidth="8" defaultColWidth="9.140625" defaultRowHeight="15" customHeight="1"/>
  <cols>
    <col width="21.42578125" customWidth="1" min="1" max="1"/>
    <col width="101.7109375" customWidth="1" min="2" max="2"/>
  </cols>
  <sheetData>
    <row r="1" ht="15" customHeight="1">
      <c r="A1" s="2" t="inlineStr">
        <is>
          <t>Search Parameters (5)</t>
        </is>
      </c>
      <c r="B1" s="1" t="n"/>
    </row>
    <row r="2" ht="15" customHeight="1">
      <c r="A2" s="1" t="inlineStr">
        <is>
          <t>Company Type</t>
        </is>
      </c>
      <c r="B2" s="1" t="inlineStr">
        <is>
          <t>Public</t>
        </is>
      </c>
    </row>
    <row r="3" ht="15" customHeight="1">
      <c r="A3" s="1" t="inlineStr">
        <is>
          <t>Total Assets (MM)</t>
        </is>
      </c>
      <c r="B3" s="1" t="inlineStr">
        <is>
          <t>Greater than or equal to 500</t>
        </is>
      </c>
    </row>
    <row r="4" ht="15" customHeight="1">
      <c r="A4" s="1" t="inlineStr">
        <is>
          <t>Number of Employees</t>
        </is>
      </c>
      <c r="B4" s="1" t="inlineStr">
        <is>
          <t>Greater than or equal to 500</t>
        </is>
      </c>
    </row>
    <row r="5" ht="15" customHeight="1">
      <c r="A5" s="1" t="inlineStr">
        <is>
          <t>Revenue (MM)</t>
        </is>
      </c>
      <c r="B5" s="1" t="inlineStr">
        <is>
          <t>Greater than or equal to 250</t>
        </is>
      </c>
    </row>
    <row r="6" ht="15" customHeight="1">
      <c r="A6" s="1" t="inlineStr">
        <is>
          <t>Company Location</t>
        </is>
      </c>
      <c r="B6" s="1" t="inlineStr">
        <is>
          <t>Australia</t>
        </is>
      </c>
    </row>
    <row r="7" ht="15" customHeight="1">
      <c r="A7" s="1" t="n"/>
      <c r="B7" s="1" t="n"/>
    </row>
    <row r="8" ht="15" customHeight="1">
      <c r="A8" s="1" t="n"/>
      <c r="B8" s="1" t="n"/>
    </row>
    <row r="9" ht="15" customHeight="1">
      <c r="A9" s="1" t="n"/>
      <c r="B9" s="1" t="n"/>
    </row>
    <row r="10" ht="15" customHeight="1">
      <c r="A10" s="2" t="inlineStr">
        <is>
          <t>Logic</t>
        </is>
      </c>
      <c r="B10" s="1" t="inlineStr">
        <is>
          <t>"Company Type" AND "Company Location" AND ( "Total Assets (MM)" OR "Number of Employees" OR "Revenue (MM)" )</t>
        </is>
      </c>
    </row>
  </sheetData>
  <pageMargins left="0.75" right="0.75" top="1" bottom="1" header="0.5" footer="0.5"/>
  <pageSetup orientation="portrait"/>
</worksheet>
</file>

<file path=xl/worksheets/sheet3.xml><?xml version="1.0" encoding="utf-8"?>
<worksheet xmlns="http://schemas.openxmlformats.org/spreadsheetml/2006/main">
  <sheetPr>
    <outlinePr summaryRight="0"/>
    <pageSetUpPr/>
  </sheetPr>
  <dimension ref="A1:U342"/>
  <sheetViews>
    <sheetView showGridLines="0" topLeftCell="A4" zoomScale="75" zoomScaleNormal="75" workbookViewId="0">
      <selection activeCell="B6" sqref="B6"/>
    </sheetView>
  </sheetViews>
  <sheetFormatPr baseColWidth="8" defaultColWidth="9.140625" defaultRowHeight="15" customHeight="1" outlineLevelRow="1"/>
  <cols>
    <col width="20.42578125" customWidth="1" min="1" max="1"/>
    <col collapsed="1" width="36.42578125" customWidth="1" min="2" max="2"/>
    <col hidden="1" outlineLevel="1" width="24.140625" customWidth="1" min="3" max="3"/>
    <col hidden="1" outlineLevel="1" width="22.5703125" customWidth="1" min="4" max="4"/>
    <col hidden="1" outlineLevel="1" width="20.42578125" customWidth="1" min="5" max="5"/>
    <col hidden="1" outlineLevel="1" width="26" customWidth="1" min="6" max="6"/>
    <col hidden="1" outlineLevel="1" width="24.28515625" customWidth="1" min="7" max="7"/>
    <col hidden="1" outlineLevel="1" width="22.5703125" customWidth="1" min="8" max="9"/>
    <col hidden="1" outlineLevel="1" width="28" customWidth="1" min="10" max="10"/>
    <col hidden="1" outlineLevel="1" width="255.7109375" customWidth="1" min="11" max="11"/>
    <col hidden="1" outlineLevel="1" width="44" customWidth="1" min="12" max="12"/>
    <col hidden="1" outlineLevel="1" width="39.7109375" customWidth="1" min="13" max="13"/>
    <col hidden="1" outlineLevel="1" width="34.7109375" customWidth="1" min="14" max="14"/>
    <col hidden="1" outlineLevel="1" width="43" customWidth="1" min="15" max="15"/>
    <col width="27.5703125" customWidth="1" min="16" max="16"/>
    <col width="23.140625" customWidth="1" min="17" max="17"/>
    <col width="26.85546875" customWidth="1" min="18" max="18"/>
    <col width="25.42578125" customWidth="1" min="19" max="19"/>
    <col width="32" customWidth="1" min="20" max="20"/>
    <col width="29.140625" customWidth="1" min="21" max="21"/>
  </cols>
  <sheetData>
    <row r="1" hidden="1" outlineLevel="1" ht="24.95" customHeight="1">
      <c r="A1" s="23" t="inlineStr">
        <is>
          <t>Company Details</t>
        </is>
      </c>
      <c r="B1" s="24" t="inlineStr">
        <is>
          <t>Company Details</t>
        </is>
      </c>
      <c r="C1" s="24" t="inlineStr">
        <is>
          <t>Company Details</t>
        </is>
      </c>
      <c r="D1" s="24" t="inlineStr">
        <is>
          <t>Company Details</t>
        </is>
      </c>
      <c r="E1" s="24" t="inlineStr">
        <is>
          <t>Company Details</t>
        </is>
      </c>
      <c r="F1" s="24" t="inlineStr">
        <is>
          <t>Size Metrics</t>
        </is>
      </c>
      <c r="G1" s="24" t="inlineStr">
        <is>
          <t>Financials</t>
        </is>
      </c>
      <c r="H1" s="24" t="inlineStr">
        <is>
          <t>Company Details</t>
        </is>
      </c>
      <c r="I1" s="24" t="inlineStr">
        <is>
          <t>Company Details</t>
        </is>
      </c>
      <c r="J1" s="24" t="inlineStr">
        <is>
          <t>Financials</t>
        </is>
      </c>
      <c r="K1" s="24" t="inlineStr">
        <is>
          <t>Company Details</t>
        </is>
      </c>
      <c r="L1" s="24" t="inlineStr">
        <is>
          <t>Industry</t>
        </is>
      </c>
      <c r="M1" s="24" t="inlineStr">
        <is>
          <t>Industry</t>
        </is>
      </c>
      <c r="N1" s="24" t="inlineStr">
        <is>
          <t>Industry</t>
        </is>
      </c>
      <c r="O1" s="24" t="inlineStr">
        <is>
          <t>Industry</t>
        </is>
      </c>
      <c r="P1" s="24" t="inlineStr">
        <is>
          <t>Financials</t>
        </is>
      </c>
      <c r="Q1" s="24" t="inlineStr">
        <is>
          <t>Financials</t>
        </is>
      </c>
      <c r="R1" s="24" t="inlineStr">
        <is>
          <t>Financials</t>
        </is>
      </c>
      <c r="S1" s="24" t="inlineStr">
        <is>
          <t>Ratios</t>
        </is>
      </c>
      <c r="T1" s="24" t="inlineStr">
        <is>
          <t>Ratios</t>
        </is>
      </c>
      <c r="U1" s="24" t="inlineStr">
        <is>
          <t>Ratios</t>
        </is>
      </c>
    </row>
    <row r="2" hidden="1" outlineLevel="1" ht="24.95" customHeight="1">
      <c r="A2" s="23" t="inlineStr">
        <is>
          <t>Company Details</t>
        </is>
      </c>
      <c r="B2" s="24" t="inlineStr">
        <is>
          <t>Company Details</t>
        </is>
      </c>
      <c r="C2" s="24" t="inlineStr">
        <is>
          <t>Company Details</t>
        </is>
      </c>
      <c r="D2" s="24" t="inlineStr">
        <is>
          <t>Company Location</t>
        </is>
      </c>
      <c r="E2" s="24" t="inlineStr">
        <is>
          <t>Company Details</t>
        </is>
      </c>
      <c r="F2" s="24" t="inlineStr">
        <is>
          <t>Size Metrics</t>
        </is>
      </c>
      <c r="G2" s="24" t="inlineStr">
        <is>
          <t>Income Statement</t>
        </is>
      </c>
      <c r="H2" s="24" t="inlineStr">
        <is>
          <t>Company Location</t>
        </is>
      </c>
      <c r="I2" s="24" t="inlineStr">
        <is>
          <t>Company Location</t>
        </is>
      </c>
      <c r="J2" s="24" t="inlineStr">
        <is>
          <t>Balance Sheet</t>
        </is>
      </c>
      <c r="K2" s="24" t="inlineStr">
        <is>
          <t>Company Details</t>
        </is>
      </c>
      <c r="L2" s="24" t="inlineStr">
        <is>
          <t>Industry Company Details</t>
        </is>
      </c>
      <c r="M2" s="24" t="inlineStr">
        <is>
          <t>Industry Company Details</t>
        </is>
      </c>
      <c r="N2" s="24" t="inlineStr">
        <is>
          <t>Industry Company Details</t>
        </is>
      </c>
      <c r="O2" s="24" t="inlineStr">
        <is>
          <t>Industry Company Details</t>
        </is>
      </c>
      <c r="P2" s="24" t="inlineStr">
        <is>
          <t>Income Statement</t>
        </is>
      </c>
      <c r="Q2" s="24" t="inlineStr">
        <is>
          <t>Income Statement</t>
        </is>
      </c>
      <c r="R2" s="24" t="inlineStr">
        <is>
          <t>Income Statement</t>
        </is>
      </c>
      <c r="S2" s="24" t="inlineStr">
        <is>
          <t>Profitability</t>
        </is>
      </c>
      <c r="T2" s="24" t="inlineStr">
        <is>
          <t>Profitability</t>
        </is>
      </c>
      <c r="U2" s="24" t="inlineStr">
        <is>
          <t>Profitability</t>
        </is>
      </c>
    </row>
    <row r="3" hidden="1" outlineLevel="1" ht="24.95" customHeight="1">
      <c r="A3" s="23" t="n"/>
      <c r="B3" s="24" t="n"/>
      <c r="C3" s="24" t="n"/>
      <c r="D3" s="24" t="n"/>
      <c r="E3" s="24" t="n"/>
      <c r="F3" s="24" t="n"/>
      <c r="G3" s="24" t="n"/>
      <c r="H3" s="24" t="n"/>
      <c r="I3" s="24" t="n"/>
      <c r="J3" s="24" t="n"/>
      <c r="K3" s="24" t="n"/>
      <c r="L3" s="24" t="inlineStr">
        <is>
          <t>Primary RBICS</t>
        </is>
      </c>
      <c r="M3" s="24" t="inlineStr">
        <is>
          <t>Primary RBICS</t>
        </is>
      </c>
      <c r="N3" s="24" t="inlineStr">
        <is>
          <t>Primary RBICS</t>
        </is>
      </c>
      <c r="O3" s="24" t="inlineStr">
        <is>
          <t>Primary RBICS</t>
        </is>
      </c>
      <c r="P3" s="24" t="n"/>
      <c r="Q3" s="24" t="n"/>
      <c r="R3" s="24" t="n"/>
      <c r="S3" s="24" t="n"/>
      <c r="T3" s="24" t="n"/>
      <c r="U3" s="24" t="n"/>
    </row>
    <row r="4" collapsed="1" ht="24.95" customHeight="1">
      <c r="A4" s="31" t="inlineStr">
        <is>
          <t>Identifier</t>
        </is>
      </c>
      <c r="B4" s="31" t="inlineStr">
        <is>
          <t>Name</t>
        </is>
      </c>
      <c r="C4" s="31" t="inlineStr">
        <is>
          <t>Company Type Main</t>
        </is>
      </c>
      <c r="D4" s="31" t="inlineStr">
        <is>
          <t>Company Country</t>
        </is>
      </c>
      <c r="E4" s="31" t="inlineStr">
        <is>
          <t>Year Founded</t>
        </is>
      </c>
      <c r="F4" s="31" t="inlineStr">
        <is>
          <t>Number of Employees</t>
        </is>
      </c>
      <c r="G4" s="31" t="inlineStr">
        <is>
          <t>Revenue (MM) (AUD)</t>
        </is>
      </c>
      <c r="H4" s="31" t="inlineStr">
        <is>
          <t>Company Region</t>
        </is>
      </c>
      <c r="I4" s="31" t="inlineStr">
        <is>
          <t>Company State</t>
        </is>
      </c>
      <c r="J4" s="31" t="inlineStr">
        <is>
          <t>Total Assets (MM) (AUD)</t>
        </is>
      </c>
      <c r="K4" s="31" t="inlineStr">
        <is>
          <t>Business Description</t>
        </is>
      </c>
      <c r="L4" s="31" t="inlineStr">
        <is>
          <t>Primary FactSet RBICS Industry Group</t>
        </is>
      </c>
      <c r="M4" s="31" t="inlineStr">
        <is>
          <t>Primary FactSet RBICS Sub Sector</t>
        </is>
      </c>
      <c r="N4" s="31" t="inlineStr">
        <is>
          <t>Primary FactSet RBICS Sector</t>
        </is>
      </c>
      <c r="O4" s="31" t="inlineStr">
        <is>
          <t>Primary FactSet RBICS Industry</t>
        </is>
      </c>
      <c r="P4" s="31" t="inlineStr">
        <is>
          <t>Gross Profit (MM) (AUD)</t>
        </is>
      </c>
      <c r="Q4" s="31" t="inlineStr">
        <is>
          <t>EBITDA (MM) (AUD)</t>
        </is>
      </c>
      <c r="R4" s="31" t="inlineStr">
        <is>
          <t>Net Income (MM) (AUD)</t>
        </is>
      </c>
      <c r="S4" s="31" t="inlineStr">
        <is>
          <t>EBITDA Margin (AUD)</t>
        </is>
      </c>
      <c r="T4" s="31" t="inlineStr">
        <is>
          <t>Gross Income Margin (AUD)</t>
        </is>
      </c>
      <c r="U4" s="31" t="inlineStr">
        <is>
          <t>Net Income Margin (AUD)</t>
        </is>
      </c>
    </row>
    <row r="5" ht="15" customHeight="1">
      <c r="A5" s="25" t="inlineStr">
        <is>
          <t>NAB-AU</t>
        </is>
      </c>
      <c r="B5" s="25" t="inlineStr">
        <is>
          <t>National Australia Bank Ltd.</t>
        </is>
      </c>
      <c r="C5" s="25" t="inlineStr">
        <is>
          <t>Public</t>
        </is>
      </c>
      <c r="D5" s="25" t="inlineStr">
        <is>
          <t>Australia</t>
        </is>
      </c>
      <c r="E5" s="26" t="n">
        <v>1893</v>
      </c>
      <c r="F5" s="27" t="n">
        <v>41880</v>
      </c>
      <c r="G5" s="28" t="n">
        <v>60246.9999999999</v>
      </c>
      <c r="H5" s="25" t="inlineStr">
        <is>
          <t>Pacific</t>
        </is>
      </c>
      <c r="I5" s="25" t="inlineStr">
        <is>
          <t>Victoria (VIC)</t>
        </is>
      </c>
      <c r="J5" s="28" t="n">
        <v>1109256.04221558</v>
      </c>
      <c r="K5" s="25" t="inlineStr">
        <is>
          <t>National Australia Bank Ltd. engages in the provision of banking and financial services. Its services include banking, credit and access card facilities, leasing, housing and general finance, international banking, investment banking, wealth management, funds management and custodian, trustee and nominee services. It operates through the following segments: Business and Private Banking, Personal Banking, Corporate and Institutional Banking, New Zealand Banking, and Corporate Functions and Others. The Business and Private Banking segment focuses on priority small and medium (SME) customers. The Personal Banking segment provides banking products and services to customers. The Corporate and Institutional Banking segment includes client coverage, corporate finance, markets, asset servicing, transactional banking and enterprise payments. The New Zealand Banking segment focuses on banking and financial services across customer segments in New Zealand. The Corporate Functions and Other segment covers ubank and enabling units. The company was founded on October 4, 1858 and is headquartered in Melbourne, Australia.</t>
        </is>
      </c>
      <c r="L5" s="25" t="inlineStr">
        <is>
          <t>Asia/Pacific Banks</t>
        </is>
      </c>
      <c r="M5" s="25" t="inlineStr">
        <is>
          <t>International Banks</t>
        </is>
      </c>
      <c r="N5" s="25" t="inlineStr">
        <is>
          <t>Banking</t>
        </is>
      </c>
      <c r="O5" s="30" t="inlineStr">
        <is>
          <t>Australia and New Zealand Banks</t>
        </is>
      </c>
      <c r="P5" s="28" t="inlineStr">
        <is>
          <t>-</t>
        </is>
      </c>
      <c r="Q5" s="28" t="inlineStr">
        <is>
          <t>-</t>
        </is>
      </c>
      <c r="R5" s="28" t="n">
        <v>6787.99999999999</v>
      </c>
      <c r="S5" s="28" t="inlineStr">
        <is>
          <t>-</t>
        </is>
      </c>
      <c r="T5" s="28" t="inlineStr">
        <is>
          <t>-</t>
        </is>
      </c>
      <c r="U5" s="28" t="n">
        <v>11.2669510515046</v>
      </c>
    </row>
    <row r="6" ht="15" customHeight="1">
      <c r="A6" s="25" t="inlineStr">
        <is>
          <t>BHP-AU</t>
        </is>
      </c>
      <c r="B6" s="25" t="inlineStr">
        <is>
          <t>BHP Group Ltd.</t>
        </is>
      </c>
      <c r="C6" s="25" t="inlineStr">
        <is>
          <t>Public</t>
        </is>
      </c>
      <c r="D6" s="25" t="inlineStr">
        <is>
          <t>Australia</t>
        </is>
      </c>
      <c r="E6" s="26" t="n">
        <v>1885</v>
      </c>
      <c r="F6" s="27" t="inlineStr">
        <is>
          <t>-</t>
        </is>
      </c>
      <c r="G6" s="28" t="n">
        <v>79153.0992782653</v>
      </c>
      <c r="H6" s="25" t="inlineStr">
        <is>
          <t>Pacific</t>
        </is>
      </c>
      <c r="I6" s="25" t="inlineStr">
        <is>
          <t>Victoria (VIC)</t>
        </is>
      </c>
      <c r="J6" s="28" t="n">
        <v>166002.903306602</v>
      </c>
      <c r="K6" s="25" t="inlineStr">
        <is>
          <t>BHP Group Ltd. engages in the exploration, development, production and processing of iron ore, metallurgical coal, and copper. It operates through the following segments: Copper, Iron Ore, and Coal. The Copper segment refers to the mining of copper, silver, lead, zinc, molybdenum, uranium, and gold. The Iron Ore segment involves in the mining of iron ore. The Coal segment focuses on metallurgical coal and energy coal. The company was founded on August 13, 1885 and is headquartered in Melbourne, Australia.</t>
        </is>
      </c>
      <c r="L6" s="25" t="inlineStr">
        <is>
          <t>Base Metal Mining</t>
        </is>
      </c>
      <c r="M6" s="25" t="inlineStr">
        <is>
          <t>Metal Ore Mining</t>
        </is>
      </c>
      <c r="N6" s="25" t="inlineStr">
        <is>
          <t>Mining and Mineral Products</t>
        </is>
      </c>
      <c r="O6" s="30" t="inlineStr">
        <is>
          <t>Other Base Metal Ore Mining</t>
        </is>
      </c>
      <c r="P6" s="28" t="n">
        <v>36902.1871883902</v>
      </c>
      <c r="Q6" s="28" t="n">
        <v>38227.0157001958</v>
      </c>
      <c r="R6" s="28" t="n">
        <v>13926.1402674627</v>
      </c>
      <c r="S6" s="28" t="n">
        <v>48.2950333575842</v>
      </c>
      <c r="T6" s="28" t="n">
        <v>46.6212789200577</v>
      </c>
      <c r="U6" s="28" t="n">
        <v>17.5939292263276</v>
      </c>
    </row>
    <row r="7" ht="15" customHeight="1">
      <c r="A7" s="25" t="inlineStr">
        <is>
          <t>PPT-AU</t>
        </is>
      </c>
      <c r="B7" s="25" t="inlineStr">
        <is>
          <t>Perpetual Ltd.</t>
        </is>
      </c>
      <c r="C7" s="25" t="inlineStr">
        <is>
          <t>Public</t>
        </is>
      </c>
      <c r="D7" s="25" t="inlineStr">
        <is>
          <t>Australia</t>
        </is>
      </c>
      <c r="E7" s="26" t="n">
        <v>1963</v>
      </c>
      <c r="F7" s="27" t="n">
        <v>1789</v>
      </c>
      <c r="G7" s="28" t="n">
        <v>1406.5</v>
      </c>
      <c r="H7" s="25" t="inlineStr">
        <is>
          <t>Pacific</t>
        </is>
      </c>
      <c r="I7" s="25" t="inlineStr">
        <is>
          <t>New South Wales (NSW)</t>
        </is>
      </c>
      <c r="J7" s="28" t="n">
        <v>3417.80008423687</v>
      </c>
      <c r="K7" s="25" t="inlineStr">
        <is>
          <t>Perpetual Ltd. operates as an independent financial services group, which provides investment management, wealth advice, and corporate fiduciary services to individuals, families, financial advisers, and institutions. It operates through the following segments: Asset Management, Wealth Management, and Corporate Trust. The Asset Management segment is a global multi-boutique asset management business. The Wealth Management segment includes Perpetual Private and other specialist businesses offering wealth management, advice, and trustee services. The Corporate Trust segment provides fiduciary and digital solutions to the banking and financial industry; and administers securitization portfolios, investment. and debt structures. The company was founded on September 28, 1886 and is headquartered in Sydney, Australia.</t>
        </is>
      </c>
      <c r="L7" s="25" t="inlineStr">
        <is>
          <t>Asset Management and Financial Advisory Services</t>
        </is>
      </c>
      <c r="M7" s="25" t="inlineStr">
        <is>
          <t>Investment Services</t>
        </is>
      </c>
      <c r="N7" s="25" t="inlineStr">
        <is>
          <t>Investment Services</t>
        </is>
      </c>
      <c r="O7" s="30" t="inlineStr">
        <is>
          <t>Diverse Asset Management and Financial Advisors</t>
        </is>
      </c>
      <c r="P7" s="28" t="n">
        <v>1205</v>
      </c>
      <c r="Q7" s="28" t="n">
        <v>317.099989591289</v>
      </c>
      <c r="R7" s="28" t="n">
        <v>-58.1999999999999</v>
      </c>
      <c r="S7" s="28" t="n">
        <v>22.5453252755066</v>
      </c>
      <c r="T7" s="28" t="n">
        <v>85.6736580163526</v>
      </c>
      <c r="U7" s="28" t="n">
        <v>-4.13793103448276</v>
      </c>
    </row>
    <row r="8" ht="15" customHeight="1">
      <c r="A8" s="25" t="inlineStr">
        <is>
          <t>ANN-AU</t>
        </is>
      </c>
      <c r="B8" s="25" t="inlineStr">
        <is>
          <t>Ansell Ltd.</t>
        </is>
      </c>
      <c r="C8" s="25" t="inlineStr">
        <is>
          <t>Public</t>
        </is>
      </c>
      <c r="D8" s="25" t="inlineStr">
        <is>
          <t>Australia</t>
        </is>
      </c>
      <c r="E8" s="26" t="n">
        <v>1893</v>
      </c>
      <c r="F8" s="27" t="n">
        <v>15724</v>
      </c>
      <c r="G8" s="28" t="n">
        <v>3093.27384386385</v>
      </c>
      <c r="H8" s="25" t="inlineStr">
        <is>
          <t>Pacific</t>
        </is>
      </c>
      <c r="I8" s="25" t="inlineStr">
        <is>
          <t>Victoria (VIC)</t>
        </is>
      </c>
      <c r="J8" s="28" t="n">
        <v>5069.65755993985</v>
      </c>
      <c r="K8" s="25" t="inlineStr">
        <is>
          <t>Ansell Ltd. engages in the development, manufacturing, distribution, and sale of gloves and protective solutions. It operates through the Healthcare and Industrial segment. The Healthcare segment includes surgical and examination gloves, healthcare safety devices, and active infection prevention products for healthcare patients and single use industrial application gloves. The Industrial segment provides multi-use hand and body protection solutions for industrial worker environments and specialty applications. The company was founded in 1893 and is headquartered in Richmond, Australia.</t>
        </is>
      </c>
      <c r="L8" s="25" t="inlineStr">
        <is>
          <t>Medical Supplies</t>
        </is>
      </c>
      <c r="M8" s="25" t="inlineStr">
        <is>
          <t>Other Medical Devices</t>
        </is>
      </c>
      <c r="N8" s="25" t="inlineStr">
        <is>
          <t>Healthcare Equipment</t>
        </is>
      </c>
      <c r="O8" s="30" t="inlineStr">
        <is>
          <t>Safety and Sterilization Medical Supplies</t>
        </is>
      </c>
      <c r="P8" s="28" t="n">
        <v>1267.07957683556</v>
      </c>
      <c r="Q8" s="28" t="n">
        <v>542.129709267631</v>
      </c>
      <c r="R8" s="28" t="n">
        <v>156.879460159021</v>
      </c>
      <c r="S8" s="28" t="n">
        <v>17.5260819883576</v>
      </c>
      <c r="T8" s="28" t="n">
        <v>40.9624120201668</v>
      </c>
      <c r="U8" s="28" t="n">
        <v>5.07163180751761</v>
      </c>
    </row>
    <row r="9" ht="15" customHeight="1">
      <c r="A9" s="25" t="inlineStr">
        <is>
          <t>STO-AU</t>
        </is>
      </c>
      <c r="B9" s="25" t="inlineStr">
        <is>
          <t>Santos Ltd.</t>
        </is>
      </c>
      <c r="C9" s="25" t="inlineStr">
        <is>
          <t>Public</t>
        </is>
      </c>
      <c r="D9" s="25" t="inlineStr">
        <is>
          <t>Australia</t>
        </is>
      </c>
      <c r="E9" s="26" t="n">
        <v>1954</v>
      </c>
      <c r="F9" s="27" t="n">
        <v>3958</v>
      </c>
      <c r="G9" s="28" t="n">
        <v>8298.9809567543</v>
      </c>
      <c r="H9" s="25" t="inlineStr">
        <is>
          <t>Pacific</t>
        </is>
      </c>
      <c r="I9" s="25" t="inlineStr">
        <is>
          <t>South Australia (SA)</t>
        </is>
      </c>
      <c r="J9" s="28" t="n">
        <v>49855.4454375894</v>
      </c>
      <c r="K9" s="25" t="inlineStr">
        <is>
          <t>Santos Ltd. engages in the exploration, development, transportation, and marketing of natural gas. It operates through the following segments: Cooper Basin, Queensland and New South Wales, Papua New Guinea, Northern Australia and Timor-Leste, and Western Australia. The company was founded by Reg Sprigg, John Bonython, and Douglas Mawson on March 18, 1954 and is headquartered in Adelaide, Australia.</t>
        </is>
      </c>
      <c r="L9" s="25" t="inlineStr">
        <is>
          <t>Other Pipeline and Energy Storage Services</t>
        </is>
      </c>
      <c r="M9" s="25" t="inlineStr">
        <is>
          <t>Midstream Energy</t>
        </is>
      </c>
      <c r="N9" s="25" t="inlineStr">
        <is>
          <t>Downstream and Midstream Energy</t>
        </is>
      </c>
      <c r="O9" s="30" t="inlineStr">
        <is>
          <t>Other Pipeline and Energy Storage Services</t>
        </is>
      </c>
      <c r="P9" s="28" t="n">
        <v>2907.8270871492</v>
      </c>
      <c r="Q9" s="28" t="n">
        <v>5359.31634673217</v>
      </c>
      <c r="R9" s="28" t="n">
        <v>1855.67276051649</v>
      </c>
      <c r="S9" s="28" t="n">
        <v>64.5780051542136</v>
      </c>
      <c r="T9" s="28" t="n">
        <v>35.0383631713555</v>
      </c>
      <c r="U9" s="28" t="n">
        <v>22.3602484472049</v>
      </c>
    </row>
    <row r="10" ht="15" customHeight="1">
      <c r="A10" s="25" t="inlineStr">
        <is>
          <t>ATP-AU</t>
        </is>
      </c>
      <c r="B10" s="25" t="inlineStr">
        <is>
          <t>Atlas Pearls Ltd.</t>
        </is>
      </c>
      <c r="C10" s="25" t="inlineStr">
        <is>
          <t>Public</t>
        </is>
      </c>
      <c r="D10" s="25" t="inlineStr">
        <is>
          <t>Australia</t>
        </is>
      </c>
      <c r="E10" s="26" t="n">
        <v>1987</v>
      </c>
      <c r="F10" s="27" t="n">
        <v>1200</v>
      </c>
      <c r="G10" s="28" t="n">
        <v>44.2710159999999</v>
      </c>
      <c r="H10" s="25" t="inlineStr">
        <is>
          <t>Pacific</t>
        </is>
      </c>
      <c r="I10" s="25" t="inlineStr">
        <is>
          <t>Western Australia (WA)</t>
        </is>
      </c>
      <c r="J10" s="28" t="n">
        <v>85.885515116779</v>
      </c>
      <c r="K10" s="25" t="inlineStr">
        <is>
          <t>Atlas Pearls Ltd. produces white &amp; silver South Sea pearls and farming operations in Indonesia. It operates through the Australia and Indonesia segments. The company was founded in 1992 and is headquartered in Perth, Australia.</t>
        </is>
      </c>
      <c r="L10" s="25" t="inlineStr">
        <is>
          <t>Accessories Production</t>
        </is>
      </c>
      <c r="M10" s="25" t="inlineStr">
        <is>
          <t>Apparel and Accessory Products</t>
        </is>
      </c>
      <c r="N10" s="25" t="inlineStr">
        <is>
          <t>Consumer Goods</t>
        </is>
      </c>
      <c r="O10" s="30" t="inlineStr">
        <is>
          <t>Jewelry and Other Accessories Production</t>
        </is>
      </c>
      <c r="P10" s="28" t="n">
        <v>30.011675</v>
      </c>
      <c r="Q10" s="28" t="n">
        <v>21.5855482962562</v>
      </c>
      <c r="R10" s="28" t="n">
        <v>21.8977809999999</v>
      </c>
      <c r="S10" s="28" t="n">
        <v>48.7577696432357</v>
      </c>
      <c r="T10" s="28" t="n">
        <v>67.7907979342512</v>
      </c>
      <c r="U10" s="28" t="n">
        <v>49.4630188744708</v>
      </c>
    </row>
    <row r="11" ht="15" customHeight="1">
      <c r="A11" s="25" t="inlineStr">
        <is>
          <t>WDS-AU</t>
        </is>
      </c>
      <c r="B11" s="25" t="inlineStr">
        <is>
          <t>Woodside Energy Group Ltd.</t>
        </is>
      </c>
      <c r="C11" s="25" t="inlineStr">
        <is>
          <t>Public</t>
        </is>
      </c>
      <c r="D11" s="25" t="inlineStr">
        <is>
          <t>Australia</t>
        </is>
      </c>
      <c r="E11" s="26" t="n">
        <v>1971</v>
      </c>
      <c r="F11" s="27" t="n">
        <v>4718</v>
      </c>
      <c r="G11" s="28" t="n">
        <v>21202.2741469143</v>
      </c>
      <c r="H11" s="25" t="inlineStr">
        <is>
          <t>Pacific</t>
        </is>
      </c>
      <c r="I11" s="25" t="inlineStr">
        <is>
          <t>Western Australia (WA)</t>
        </is>
      </c>
      <c r="J11" s="28" t="n">
        <v>98948.5554389163</v>
      </c>
      <c r="K11" s="25" t="inlineStr">
        <is>
          <t>Woodside Energy Group Ltd. engages in the exploration, evaluation, development, and production of hydrocarbon and oil and gas properties. It operates through the following segments: North West Shelf, Pluto, Australia Oil, Wheatstone, Development, and Others. The North West Shelf segment produces liquefied natural gas, pipeline natural gas, condensate, liquefied petroleum gas and crude oil from the North West Shelf ventures. The Pluto segment develops liquefied natural gas in assigned permit areas. The Australia Oil segment is involved in the exploration, evaluation, development, production and sale of crude oil in assigned permit areas. The Wheatstone segment is involved in the exploration, evaluation, and development of liquefied natural gas, pipeline natural gas, and condensate. The Development segment includes the exploration of gas resources in Scarborough, Sangomar, and other project areas. The Other segment is composed of the activities undertaken by exploration, international and Sunrise Business Units. The company was founded on July 26, 1954 and is headquartered in Perth, Australia.</t>
        </is>
      </c>
      <c r="L11" s="25" t="inlineStr">
        <is>
          <t>Other Fossil Fuel Exploration and Production</t>
        </is>
      </c>
      <c r="M11" s="25" t="inlineStr">
        <is>
          <t>Fossil Fuel Exploration and Production</t>
        </is>
      </c>
      <c r="N11" s="25" t="inlineStr">
        <is>
          <t>Upstream Energy</t>
        </is>
      </c>
      <c r="O11" s="30" t="inlineStr">
        <is>
          <t>Asia/Pacific Fossil Fuel Exploration/Production</t>
        </is>
      </c>
      <c r="P11" s="28" t="n">
        <v>8538.520414402639</v>
      </c>
      <c r="Q11" s="28" t="n">
        <v>15527.6147166141</v>
      </c>
      <c r="R11" s="28" t="n">
        <v>5416.92710239005</v>
      </c>
      <c r="S11" s="28" t="n">
        <v>73.2356095502134</v>
      </c>
      <c r="T11" s="28" t="n">
        <v>40.2717196996781</v>
      </c>
      <c r="U11" s="28" t="n">
        <v>25.5488022881659</v>
      </c>
    </row>
    <row r="12" ht="15" customHeight="1">
      <c r="A12" s="25" t="inlineStr">
        <is>
          <t>ORG-AU</t>
        </is>
      </c>
      <c r="B12" s="25" t="inlineStr">
        <is>
          <t>Origin Energy Ltd.</t>
        </is>
      </c>
      <c r="C12" s="25" t="inlineStr">
        <is>
          <t>Public</t>
        </is>
      </c>
      <c r="D12" s="25" t="inlineStr">
        <is>
          <t>Australia</t>
        </is>
      </c>
      <c r="E12" s="26" t="n">
        <v>1946</v>
      </c>
      <c r="F12" s="27" t="n">
        <v>5000</v>
      </c>
      <c r="G12" s="28" t="n">
        <v>17118</v>
      </c>
      <c r="H12" s="25" t="inlineStr">
        <is>
          <t>Pacific</t>
        </is>
      </c>
      <c r="I12" s="25" t="inlineStr">
        <is>
          <t>New South Wales (NSW)</t>
        </is>
      </c>
      <c r="J12" s="28" t="n">
        <v>20989.0005173058</v>
      </c>
      <c r="K12" s="25" t="inlineStr">
        <is>
          <t>Origin Energy Ltd. is an integrated energy company, which engages in exploration and production of natural gas, electricity generation, wholesale and retail sale of electricity and gas, and sale of liquefied natural gas. It operates through the following business segments: Energy Markets, Share of Octopus Energy, Integrated Gas, and Corporate. The Energy Markets segment includes energy retailing, power generation and liquid petroleum gas operations. The Share of Octopus Energy segment focuses on the Origin’s investment in Octopus Energy Group Limited (Octopus Energy). The Integrated Gas segment engages in growth assets business and management of LNG price risk through hedging and trading activities. The Corporate segment includes various business development and support activities that are not allocated to operating segments. The company was founded on March 4, 1946 and is headquartered in Sydney, Australia.</t>
        </is>
      </c>
      <c r="L12" s="25" t="inlineStr">
        <is>
          <t>Asia/Pacific Wholesale Power</t>
        </is>
      </c>
      <c r="M12" s="25" t="inlineStr">
        <is>
          <t>Energy Utilities</t>
        </is>
      </c>
      <c r="N12" s="25" t="inlineStr">
        <is>
          <t>Utilities</t>
        </is>
      </c>
      <c r="O12" s="30" t="inlineStr">
        <is>
          <t>Other Asia/Pacific Wholesale Power</t>
        </is>
      </c>
      <c r="P12" s="28" t="n">
        <v>2202</v>
      </c>
      <c r="Q12" s="28" t="n">
        <v>2033.99999621062</v>
      </c>
      <c r="R12" s="28" t="n">
        <v>1481</v>
      </c>
      <c r="S12" s="28" t="n">
        <v>11.882229232387</v>
      </c>
      <c r="T12" s="28" t="n">
        <v>12.863652295829</v>
      </c>
      <c r="U12" s="28" t="n">
        <v>8.65171164855707</v>
      </c>
    </row>
    <row r="13" ht="15" customHeight="1">
      <c r="A13" s="25" t="inlineStr">
        <is>
          <t>TAH-AU</t>
        </is>
      </c>
      <c r="B13" s="25" t="inlineStr">
        <is>
          <t>Tabcorp Holdings Ltd.</t>
        </is>
      </c>
      <c r="C13" s="25" t="inlineStr">
        <is>
          <t>Public</t>
        </is>
      </c>
      <c r="D13" s="25" t="inlineStr">
        <is>
          <t>Australia</t>
        </is>
      </c>
      <c r="E13" s="26" t="n">
        <v>1994</v>
      </c>
      <c r="F13" s="27" t="inlineStr">
        <is>
          <t>-</t>
        </is>
      </c>
      <c r="G13" s="28" t="n">
        <v>2151.5</v>
      </c>
      <c r="H13" s="25" t="inlineStr">
        <is>
          <t>Pacific</t>
        </is>
      </c>
      <c r="I13" s="25" t="inlineStr">
        <is>
          <t>Victoria (VIC)</t>
        </is>
      </c>
      <c r="J13" s="28" t="n">
        <v>3140.200077395</v>
      </c>
      <c r="K13" s="25" t="inlineStr">
        <is>
          <t>Tabcorp Holdings Ltd. engages in the provision of entertainment services. It operates through the Wagering and Media, and Gaming Services segments. The Wagering and Media segment includes totalizator and fixed odds betting, retail wagering networks, and global racing media business. The Gaming Services segment provides regulatory monitoring and related services. The company was founded on April 13, 1994 and is headquartered in Melbourne, Australia.</t>
        </is>
      </c>
      <c r="L13" s="25" t="inlineStr">
        <is>
          <t>Arts, Entertainment and Recreation Providers</t>
        </is>
      </c>
      <c r="M13" s="25" t="inlineStr">
        <is>
          <t>Hospitality Services</t>
        </is>
      </c>
      <c r="N13" s="25" t="inlineStr">
        <is>
          <t>Hospitality Services</t>
        </is>
      </c>
      <c r="O13" s="30" t="inlineStr">
        <is>
          <t>Gaming Industries</t>
        </is>
      </c>
      <c r="P13" s="28" t="n">
        <v>424.299999999999</v>
      </c>
      <c r="Q13" s="28" t="n">
        <v>356.199986988234</v>
      </c>
      <c r="R13" s="28" t="n">
        <v>36.5999999999999</v>
      </c>
      <c r="S13" s="28" t="n">
        <v>16.5558912386707</v>
      </c>
      <c r="T13" s="28" t="n">
        <v>19.7211247966535</v>
      </c>
      <c r="U13" s="28" t="n">
        <v>1.70113874041367</v>
      </c>
    </row>
    <row r="14" ht="15" customHeight="1">
      <c r="A14" s="25" t="inlineStr">
        <is>
          <t>CSL-AU</t>
        </is>
      </c>
      <c r="B14" s="25" t="inlineStr">
        <is>
          <t>CSL Ltd.</t>
        </is>
      </c>
      <c r="C14" s="25" t="inlineStr">
        <is>
          <t>Public</t>
        </is>
      </c>
      <c r="D14" s="25" t="inlineStr">
        <is>
          <t>Australia</t>
        </is>
      </c>
      <c r="E14" s="26" t="n">
        <v>1961</v>
      </c>
      <c r="F14" s="27" t="n">
        <v>29000</v>
      </c>
      <c r="G14" s="28" t="n">
        <v>23825.2959670639</v>
      </c>
      <c r="H14" s="25" t="inlineStr">
        <is>
          <t>Pacific</t>
        </is>
      </c>
      <c r="I14" s="25" t="inlineStr">
        <is>
          <t>Victoria (VIC)</t>
        </is>
      </c>
      <c r="J14" s="28" t="n">
        <v>60126.651364035</v>
      </c>
      <c r="K14" s="25" t="inlineStr">
        <is>
          <t>CSL Ltd. is a biopharmaceutical company, which engages in the manufacture, marketing, and distribution of biopharmaceutical and allied products. It operates through the following segments: CSL Behring, CSL Seqirus, and CSL Vifor. The CSL Behring segment provides plasma products, gene therapies, and recombinants. The CSL Seqirus segment includes predominantly influenza related products and provides pandemic services to governments. The CSL Vidor segment focuses on the distribution of products in the therapeutic areas of iron deficiency and nephrology. The company was founded on November 2, 1961 and is headquartered in Melbourne, Australia.</t>
        </is>
      </c>
      <c r="L14" s="25" t="inlineStr">
        <is>
          <t>Diversified Biopharmaceuticals</t>
        </is>
      </c>
      <c r="M14" s="25" t="inlineStr">
        <is>
          <t>Other Biopharmaceuticals</t>
        </is>
      </c>
      <c r="N14" s="25" t="inlineStr">
        <is>
          <t>Biopharmaceuticals</t>
        </is>
      </c>
      <c r="O14" s="30" t="inlineStr">
        <is>
          <t>Diversified Biopharmaceuticals</t>
        </is>
      </c>
      <c r="P14" s="28" t="n">
        <v>11639.3441995936</v>
      </c>
      <c r="Q14" s="28" t="n">
        <v>7794.56215432356</v>
      </c>
      <c r="R14" s="28" t="n">
        <v>4635.35570273014</v>
      </c>
      <c r="S14" s="28" t="n">
        <v>32.7154892882555</v>
      </c>
      <c r="T14" s="28" t="n">
        <v>48.8528839922231</v>
      </c>
      <c r="U14" s="28" t="n">
        <v>19.4556059624109</v>
      </c>
    </row>
    <row r="15" ht="15" customHeight="1">
      <c r="A15" s="25" t="inlineStr">
        <is>
          <t>CDA-AU</t>
        </is>
      </c>
      <c r="B15" s="25" t="inlineStr">
        <is>
          <t>Codan Ltd.</t>
        </is>
      </c>
      <c r="C15" s="25" t="inlineStr">
        <is>
          <t>Public</t>
        </is>
      </c>
      <c r="D15" s="25" t="inlineStr">
        <is>
          <t>Australia</t>
        </is>
      </c>
      <c r="E15" s="26" t="n">
        <v>1959</v>
      </c>
      <c r="F15" s="27" t="n">
        <v>1000</v>
      </c>
      <c r="G15" s="28" t="n">
        <v>674.226</v>
      </c>
      <c r="H15" s="25" t="inlineStr">
        <is>
          <t>Pacific</t>
        </is>
      </c>
      <c r="I15" s="25" t="inlineStr">
        <is>
          <t>South Australia (SA)</t>
        </is>
      </c>
      <c r="J15" s="28" t="n">
        <v>904.805022300294</v>
      </c>
      <c r="K15" s="25" t="inlineStr">
        <is>
          <t>Codan Ltd. engages in the provision of electronic solutions, focusing on metal detection and communications technology. It operates through the following segments: Communications, Metal Detection, and Other. The Communications segment includes the design, development, manufacture, and marketing of communications equipment. The Metal Detection segment focuses on the designs, development, manufacture, and marketing of metal detection equipment. The Other segment refers to the tracking solutions business and the ongoing manufacturing and sale of tracking products. The company was founded by Alastair Wood, Ian Baker Wall, and Jim Irvine Bettison on July 1, 1959, and is headquartered in Mawson Lakes, Australia.</t>
        </is>
      </c>
      <c r="L15" s="25" t="inlineStr">
        <is>
          <t>Other Communications Equipment</t>
        </is>
      </c>
      <c r="M15" s="25" t="inlineStr">
        <is>
          <t>Communications Equipment</t>
        </is>
      </c>
      <c r="N15" s="25" t="inlineStr">
        <is>
          <t>Hardware</t>
        </is>
      </c>
      <c r="O15" s="30" t="inlineStr">
        <is>
          <t>Other Wireless Equipment</t>
        </is>
      </c>
      <c r="P15" s="28" t="n">
        <v>339.253999999999</v>
      </c>
      <c r="Q15" s="28" t="n">
        <v>184.300013359868</v>
      </c>
      <c r="R15" s="28" t="n">
        <v>103.493</v>
      </c>
      <c r="S15" s="28" t="n">
        <v>27.3350478919531</v>
      </c>
      <c r="T15" s="28" t="n">
        <v>50.3175493083921</v>
      </c>
      <c r="U15" s="28" t="n">
        <v>15.3498975121102</v>
      </c>
    </row>
    <row r="16" ht="15" customHeight="1">
      <c r="A16" s="25" t="inlineStr">
        <is>
          <t>OBL-AU</t>
        </is>
      </c>
      <c r="B16" s="25" t="inlineStr">
        <is>
          <t>Omni Bridgeway Ltd.</t>
        </is>
      </c>
      <c r="C16" s="25" t="inlineStr">
        <is>
          <t>Public</t>
        </is>
      </c>
      <c r="D16" s="25" t="inlineStr">
        <is>
          <t>Australia</t>
        </is>
      </c>
      <c r="E16" s="26" t="n">
        <v>1986</v>
      </c>
      <c r="F16" s="27" t="n">
        <v>167</v>
      </c>
      <c r="G16" s="28" t="n">
        <v>54.986</v>
      </c>
      <c r="H16" s="25" t="inlineStr">
        <is>
          <t>Pacific</t>
        </is>
      </c>
      <c r="I16" s="25" t="inlineStr">
        <is>
          <t>New South Wales (NSW)</t>
        </is>
      </c>
      <c r="J16" s="28" t="n">
        <v>1191.95502937754</v>
      </c>
      <c r="K16" s="25" t="inlineStr">
        <is>
          <t>Omni Bridgeway Ltd. engages in the investigation, management, and funding of litigation and arbitration claims. It operates through the following geographical segments: Americas, APAC, EMEA, and Corporate. The Americas segment focuses on the investment management business operating in America, Canada, and Latin America. The APAC segment is involved in the investment management business operating in Australia, Asia, and New Zealand. The EMEA segment represents the investment management business operating in Europe, Middle East, and Africa. The company was founded in 1986 and is headquartered in Sydney, Australia.</t>
        </is>
      </c>
      <c r="L16" s="25" t="inlineStr">
        <is>
          <t>Commercial Finance Services</t>
        </is>
      </c>
      <c r="M16" s="25" t="inlineStr">
        <is>
          <t>Specialty Finance</t>
        </is>
      </c>
      <c r="N16" s="25" t="inlineStr">
        <is>
          <t>Specialty Finance and Services</t>
        </is>
      </c>
      <c r="O16" s="30" t="inlineStr">
        <is>
          <t>Diversified Loan Services</t>
        </is>
      </c>
      <c r="P16" s="28" t="n">
        <v>26.95</v>
      </c>
      <c r="Q16" s="28" t="n">
        <v>-25.7779974600702</v>
      </c>
      <c r="R16" s="28" t="n">
        <v>349.797</v>
      </c>
      <c r="S16" s="28" t="n">
        <v>-46.8810242607209</v>
      </c>
      <c r="T16" s="28" t="n">
        <v>49.0124759029571</v>
      </c>
      <c r="U16" s="28" t="n">
        <v>636.15647619394</v>
      </c>
    </row>
    <row r="17" ht="15" customHeight="1">
      <c r="A17" s="25" t="inlineStr">
        <is>
          <t>MOZ-AU</t>
        </is>
      </c>
      <c r="B17" s="25" t="inlineStr">
        <is>
          <t>Mosaic Brands Ltd.</t>
        </is>
      </c>
      <c r="C17" s="25" t="inlineStr">
        <is>
          <t>Public</t>
        </is>
      </c>
      <c r="D17" s="25" t="inlineStr">
        <is>
          <t>Australia</t>
        </is>
      </c>
      <c r="E17" s="26" t="n">
        <v>1987</v>
      </c>
      <c r="F17" s="27" t="inlineStr">
        <is>
          <t>-</t>
        </is>
      </c>
      <c r="G17" s="28" t="n">
        <v>505.699999999999</v>
      </c>
      <c r="H17" s="25" t="inlineStr">
        <is>
          <t>Pacific</t>
        </is>
      </c>
      <c r="I17" s="25" t="inlineStr">
        <is>
          <t>New South Wales (NSW)</t>
        </is>
      </c>
      <c r="J17" s="28" t="n">
        <v>317.090006255911</v>
      </c>
      <c r="K17" s="25" t="inlineStr">
        <is>
          <t>Mosaic Brands Ltd. engages in the retail and sale of women's apparel and accessories. It offers classic and stylish contemporary fashion for woman under Noni B and Liz Jordan brand names. The company was founded by Alan A. Kindl in 1977 and is headquartered in Rosebery, Australia.</t>
        </is>
      </c>
      <c r="L17" s="25" t="inlineStr">
        <is>
          <t>Apparel Retail</t>
        </is>
      </c>
      <c r="M17" s="25" t="inlineStr">
        <is>
          <t>Apparel and Accessories Retail</t>
        </is>
      </c>
      <c r="N17" s="25" t="inlineStr">
        <is>
          <t>Consumer Retail</t>
        </is>
      </c>
      <c r="O17" s="30" t="inlineStr">
        <is>
          <t>Other Apparel Retail</t>
        </is>
      </c>
      <c r="P17" s="28" t="n">
        <v>278.069999999999</v>
      </c>
      <c r="Q17" s="28" t="n">
        <v>54.9350003378716</v>
      </c>
      <c r="R17" s="28" t="n">
        <v>0.265999999999995</v>
      </c>
      <c r="S17" s="28" t="n">
        <v>10.8631599762705</v>
      </c>
      <c r="T17" s="28" t="n">
        <v>54.987146529563</v>
      </c>
      <c r="U17" s="28" t="n">
        <v>0.0526003559422579</v>
      </c>
    </row>
    <row r="18" ht="15" customHeight="1">
      <c r="A18" s="25" t="inlineStr">
        <is>
          <t>NST-AU</t>
        </is>
      </c>
      <c r="B18" s="25" t="inlineStr">
        <is>
          <t>Northern Star Resources Ltd.</t>
        </is>
      </c>
      <c r="C18" s="25" t="inlineStr">
        <is>
          <t>Public</t>
        </is>
      </c>
      <c r="D18" s="25" t="inlineStr">
        <is>
          <t>Australia</t>
        </is>
      </c>
      <c r="E18" s="26" t="n">
        <v>2000</v>
      </c>
      <c r="F18" s="27" t="n">
        <v>8728</v>
      </c>
      <c r="G18" s="28" t="n">
        <v>6414.9</v>
      </c>
      <c r="H18" s="25" t="inlineStr">
        <is>
          <t>Pacific</t>
        </is>
      </c>
      <c r="I18" s="25" t="inlineStr">
        <is>
          <t>Western Australia (WA)</t>
        </is>
      </c>
      <c r="J18" s="28" t="n">
        <v>21050.1005188117</v>
      </c>
      <c r="K18" s="25" t="inlineStr">
        <is>
          <t>Northern Star Resources Ltd. is a gold producer and exploration company. It operates through the following segments: KCGM, Kalgoorlie Operations, Carosue Dam, Pogo, Jundee, Thunderbox, and Exploration. The KCGM, Kalgoorlie Operations, Carosue Dam, Pogo, Jundee, and Thunderbox segments are involved in the mining and processing of gold. The Exploration segment focuses on the exploration and evaluation of gold mineralization. The company founded on May 12, 2000 and is headquartered in Subiaco, Australia.</t>
        </is>
      </c>
      <c r="L18" s="25" t="inlineStr">
        <is>
          <t>Precious Metal Mining</t>
        </is>
      </c>
      <c r="M18" s="25" t="inlineStr">
        <is>
          <t>Metal Ore Mining</t>
        </is>
      </c>
      <c r="N18" s="25" t="inlineStr">
        <is>
          <t>Mining and Mineral Products</t>
        </is>
      </c>
      <c r="O18" s="30" t="inlineStr">
        <is>
          <t>Asia/Pacific Gold Mining</t>
        </is>
      </c>
      <c r="P18" s="28" t="n">
        <v>2234.4</v>
      </c>
      <c r="Q18" s="28" t="n">
        <v>3488.40001011709</v>
      </c>
      <c r="R18" s="28" t="n">
        <v>1339.69999999999</v>
      </c>
      <c r="S18" s="28" t="n">
        <v>54.3796473834354</v>
      </c>
      <c r="T18" s="28" t="n">
        <v>34.8314081279521</v>
      </c>
      <c r="U18" s="28" t="n">
        <v>20.8841914916834</v>
      </c>
    </row>
    <row r="19" ht="15" customHeight="1">
      <c r="A19" s="25" t="inlineStr">
        <is>
          <t>EGG-AU</t>
        </is>
      </c>
      <c r="B19" s="25" t="inlineStr">
        <is>
          <t>Enero Group Ltd.</t>
        </is>
      </c>
      <c r="C19" s="25" t="inlineStr">
        <is>
          <t>Public</t>
        </is>
      </c>
      <c r="D19" s="25" t="inlineStr">
        <is>
          <t>Australia</t>
        </is>
      </c>
      <c r="E19" s="26" t="n">
        <v>2000</v>
      </c>
      <c r="F19" s="27" t="n">
        <v>600</v>
      </c>
      <c r="G19" s="28" t="n">
        <v>187.469999999999</v>
      </c>
      <c r="H19" s="25" t="inlineStr">
        <is>
          <t>Pacific</t>
        </is>
      </c>
      <c r="I19" s="25" t="inlineStr">
        <is>
          <t>New South Wales (NSW)</t>
        </is>
      </c>
      <c r="J19" s="28" t="n">
        <v>225.785005564813</v>
      </c>
      <c r="K19" s="25" t="inlineStr">
        <is>
          <t>Enero Group Ltd. engages in integrated marketing and communication services. It operates through the Brand Transformation, and Creative Technology and Data segments. The Brand Transformation segment refers to human generated creative ideas to transform the way customers and stakeholders connect and engage with brands. The Creative Technology and Data segment is involved with high quality customer experience connected by technology and enabled by data. The company was founded on February 9, 2000, and is headquartered in Pyrmont, Australia.</t>
        </is>
      </c>
      <c r="L19" s="25" t="inlineStr">
        <is>
          <t>Marketing and Advertising Services</t>
        </is>
      </c>
      <c r="M19" s="25" t="inlineStr">
        <is>
          <t>Marketing and Printing Services</t>
        </is>
      </c>
      <c r="N19" s="25" t="inlineStr">
        <is>
          <t>Business Services</t>
        </is>
      </c>
      <c r="O19" s="30" t="inlineStr">
        <is>
          <t>Other Marketing and Advertising Services</t>
        </is>
      </c>
      <c r="P19" s="28" t="n">
        <v>20.576</v>
      </c>
      <c r="Q19" s="28" t="n">
        <v>14.1940088574437</v>
      </c>
      <c r="R19" s="28" t="n">
        <v>-7.49199999999999</v>
      </c>
      <c r="S19" s="28" t="n">
        <v>7.57134474849309</v>
      </c>
      <c r="T19" s="28" t="n">
        <v>10.9756227663093</v>
      </c>
      <c r="U19" s="28" t="n">
        <v>-3.99637275297381</v>
      </c>
    </row>
    <row r="20" ht="15" customHeight="1">
      <c r="A20" s="25" t="inlineStr">
        <is>
          <t>NCK-AU</t>
        </is>
      </c>
      <c r="B20" s="25" t="inlineStr">
        <is>
          <t>Nick Scali Ltd.</t>
        </is>
      </c>
      <c r="C20" s="25" t="inlineStr">
        <is>
          <t>Public</t>
        </is>
      </c>
      <c r="D20" s="25" t="inlineStr">
        <is>
          <t>Australia</t>
        </is>
      </c>
      <c r="E20" s="26" t="n">
        <v>1962</v>
      </c>
      <c r="F20" s="27" t="n">
        <v>850</v>
      </c>
      <c r="G20" s="28" t="n">
        <v>495.282999999999</v>
      </c>
      <c r="H20" s="25" t="inlineStr">
        <is>
          <t>Pacific</t>
        </is>
      </c>
      <c r="I20" s="25" t="inlineStr">
        <is>
          <t>New South Wales (NSW)</t>
        </is>
      </c>
      <c r="J20" s="28" t="n">
        <v>705.807017395686</v>
      </c>
      <c r="K20" s="25" t="inlineStr">
        <is>
          <t>Nick Scali Ltd. engages in the sourcing and retailing of household furniture and related accessories. It offers sofas and armchairs, rugs and accessories, and furniture for living, dining, and bedroom. The company was founded by Nicodemo Domenico Scali in 1962 and is headquartered in North Ryde, Australia.</t>
        </is>
      </c>
      <c r="L20" s="25" t="inlineStr">
        <is>
          <t>Furniture and Home Furnishings Stores</t>
        </is>
      </c>
      <c r="M20" s="25" t="inlineStr">
        <is>
          <t>Home Improvement Retail</t>
        </is>
      </c>
      <c r="N20" s="25" t="inlineStr">
        <is>
          <t>Consumer Retail</t>
        </is>
      </c>
      <c r="O20" s="30" t="inlineStr">
        <is>
          <t>Furniture Stores</t>
        </is>
      </c>
      <c r="P20" s="28" t="n">
        <v>174.452999999999</v>
      </c>
      <c r="Q20" s="28" t="n">
        <v>154.762004350274</v>
      </c>
      <c r="R20" s="28" t="n">
        <v>57.676</v>
      </c>
      <c r="S20" s="28" t="n">
        <v>31.2471859522737</v>
      </c>
      <c r="T20" s="28" t="n">
        <v>35.2228927703959</v>
      </c>
      <c r="U20" s="28" t="n">
        <v>11.6450594912404</v>
      </c>
    </row>
    <row r="21" ht="15" customHeight="1">
      <c r="A21" s="25" t="inlineStr">
        <is>
          <t>AX1-AU</t>
        </is>
      </c>
      <c r="B21" s="25" t="inlineStr">
        <is>
          <t>Accent Group Ltd.</t>
        </is>
      </c>
      <c r="C21" s="25" t="inlineStr">
        <is>
          <t>Public</t>
        </is>
      </c>
      <c r="D21" s="25" t="inlineStr">
        <is>
          <t>Australia</t>
        </is>
      </c>
      <c r="E21" s="26" t="n">
        <v>2004</v>
      </c>
      <c r="F21" s="27" t="n">
        <v>8600</v>
      </c>
      <c r="G21" s="28" t="n">
        <v>1470.96741217782</v>
      </c>
      <c r="H21" s="25" t="inlineStr">
        <is>
          <t>Pacific</t>
        </is>
      </c>
      <c r="I21" s="25" t="inlineStr">
        <is>
          <t>Victoria (VIC)</t>
        </is>
      </c>
      <c r="J21" s="28" t="n">
        <v>1257.89757397154</v>
      </c>
      <c r="K21" s="25" t="inlineStr">
        <is>
          <t>Accent Group Ltd. operates as an investment holding company, which engages in the retail of performance and lifestyle footwear. It offers its products under the following brands: The Athlete's Foot, Platypus Shoes, Sneaker Lab, Hype DC, Skechers, Merrell, CAT, Vans, 4Workers, EXIE, Dr. Martens, Saucony, Timberland, Sperry, Palladium, Stance, Supra, Subtype, The Trybe, PIVOT, and Stylerunner. The company was founded by Michael Hapgood in 1966 and is headquartered in Melbourne, Australia.</t>
        </is>
      </c>
      <c r="L21" s="25" t="inlineStr">
        <is>
          <t>Footwear Retail</t>
        </is>
      </c>
      <c r="M21" s="25" t="inlineStr">
        <is>
          <t>Apparel and Accessories Retail</t>
        </is>
      </c>
      <c r="N21" s="25" t="inlineStr">
        <is>
          <t>Consumer Retail</t>
        </is>
      </c>
      <c r="O21" s="30" t="inlineStr">
        <is>
          <t>Footwear Stores</t>
        </is>
      </c>
      <c r="P21" s="28" t="n">
        <v>306.161030889935</v>
      </c>
      <c r="Q21" s="28" t="n">
        <v>288.844242999022</v>
      </c>
      <c r="R21" s="28" t="n">
        <v>57.6626425903689</v>
      </c>
      <c r="S21" s="28" t="n">
        <v>19.6363450948399</v>
      </c>
      <c r="T21" s="28" t="n">
        <v>20.8135835202937</v>
      </c>
      <c r="U21" s="28" t="n">
        <v>3.92004894962268</v>
      </c>
    </row>
    <row r="22" ht="15" customHeight="1">
      <c r="A22" s="25" t="inlineStr">
        <is>
          <t>INA-AU</t>
        </is>
      </c>
      <c r="B22" s="25" t="inlineStr">
        <is>
          <t>Ingenia Communities Group</t>
        </is>
      </c>
      <c r="C22" s="25" t="inlineStr">
        <is>
          <t>Public</t>
        </is>
      </c>
      <c r="D22" s="25" t="inlineStr">
        <is>
          <t>Australia</t>
        </is>
      </c>
      <c r="E22" s="26" t="n">
        <v>2003</v>
      </c>
      <c r="F22" s="27" t="inlineStr">
        <is>
          <t>-</t>
        </is>
      </c>
      <c r="G22" s="28" t="n">
        <v>518.173999999999</v>
      </c>
      <c r="H22" s="25" t="inlineStr">
        <is>
          <t>Pacific</t>
        </is>
      </c>
      <c r="I22" s="25" t="inlineStr">
        <is>
          <t>New South Wales (NSW)</t>
        </is>
      </c>
      <c r="J22" s="28" t="n">
        <v>2773.15006834849</v>
      </c>
      <c r="K22" s="25" t="inlineStr">
        <is>
          <t>Ingenia Communities Group engages in managing and developing a portfolio of retirement and lifestyle communities. It operates through the following segments: Lifestyle Development; Lifestyle Rental; Ingenia Gardens; Holidays and Mixed Use; Fuel, Food, and Beverage Services; and Corporate and Other. The Lifestyle Development segment refers to the development and sale of lifestyle homes. The Lifestyle Rental segment relates to long-term accommodation within lifestyle and rental communities. The Ingenia Gardens is involved in rental villages. The Holidays and Mixed Use segment includes tourism and rental accommodation within holiday parks. The Fuel, Food, and Beverage Services segment focuses on its investment in service stations and food and beverage operations adjoined to Ingenia Holiday communities. The Corporate and Other segment covers its remaining assets and operating activities. The company was founded on November 22, 2003 and is headquartered in Sydney, Australia.</t>
        </is>
      </c>
      <c r="L22" s="25" t="inlineStr">
        <is>
          <t>Equity REITs</t>
        </is>
      </c>
      <c r="M22" s="25" t="inlineStr">
        <is>
          <t>Real Estate Investment Trusts (REITs)</t>
        </is>
      </c>
      <c r="N22" s="25" t="inlineStr">
        <is>
          <t>Real Estate</t>
        </is>
      </c>
      <c r="O22" s="30" t="inlineStr">
        <is>
          <t>Equity REITs</t>
        </is>
      </c>
      <c r="P22" s="28" t="n">
        <v>314.94</v>
      </c>
      <c r="Q22" s="28" t="n">
        <v>135.2600036638</v>
      </c>
      <c r="R22" s="28" t="n">
        <v>128.425</v>
      </c>
      <c r="S22" s="28" t="n">
        <v>26.1032008553111</v>
      </c>
      <c r="T22" s="28" t="n">
        <v>60.7788117504931</v>
      </c>
      <c r="U22" s="28" t="n">
        <v>24.7841458660604</v>
      </c>
    </row>
    <row r="23" ht="15" customHeight="1">
      <c r="A23" s="25" t="inlineStr">
        <is>
          <t>KAR-AU</t>
        </is>
      </c>
      <c r="B23" s="25" t="inlineStr">
        <is>
          <t>Karoon Energy Ltd.</t>
        </is>
      </c>
      <c r="C23" s="25" t="inlineStr">
        <is>
          <t>Public</t>
        </is>
      </c>
      <c r="D23" s="25" t="inlineStr">
        <is>
          <t>Australia</t>
        </is>
      </c>
      <c r="E23" s="26" t="n">
        <v>2003</v>
      </c>
      <c r="F23" s="27" t="inlineStr">
        <is>
          <t>-</t>
        </is>
      </c>
      <c r="G23" s="28" t="n">
        <v>1177.23030926557</v>
      </c>
      <c r="H23" s="25" t="inlineStr">
        <is>
          <t>Pacific</t>
        </is>
      </c>
      <c r="I23" s="25" t="inlineStr">
        <is>
          <t>Victoria (VIC)</t>
        </is>
      </c>
      <c r="J23" s="28" t="n">
        <v>3135.75052860826</v>
      </c>
      <c r="K23" s="25" t="inlineStr">
        <is>
          <t>Karoon Energy Ltd. is an oil and gas exploration company, which engages in oil and gas production, development assets, and providing energy. It operates through the following geographical segments: Australia, Brazil, U.S.A., and All Other. The Australia segment is involved in the exploration and evaluation of hydrocarbons. The Brazil segment refers to the exploration, development, and production of hydrocarbons. The U.S.A segment focuses on the acquisition of LLOG interests in the Mississippi Canyon Blocks in the Gulf of Mexico. The All Other segment relates to the closure of its Peruvian branches. The company was founded by Robert Michael Hosking on November 11, 2003 and is headquartered in Southbank, Australia.</t>
        </is>
      </c>
      <c r="L23" s="25" t="inlineStr">
        <is>
          <t>Americas Fossil Fuel Exploration and Production</t>
        </is>
      </c>
      <c r="M23" s="25" t="inlineStr">
        <is>
          <t>Fossil Fuel Exploration and Production</t>
        </is>
      </c>
      <c r="N23" s="25" t="inlineStr">
        <is>
          <t>Upstream Energy</t>
        </is>
      </c>
      <c r="O23" s="30" t="inlineStr">
        <is>
          <t>Other Americas Fossil Fuel Exploration/Production</t>
        </is>
      </c>
      <c r="P23" s="28" t="n">
        <v>551.85039610131</v>
      </c>
      <c r="Q23" s="28" t="n">
        <v>791.996282753292</v>
      </c>
      <c r="R23" s="28" t="n">
        <v>193.299245887134</v>
      </c>
      <c r="S23" s="28" t="n">
        <v>67.2762393022396</v>
      </c>
      <c r="T23" s="28" t="n">
        <v>46.8770122343851</v>
      </c>
      <c r="U23" s="28" t="n">
        <v>16.4198325820992</v>
      </c>
    </row>
    <row r="24" ht="15" customHeight="1">
      <c r="A24" s="25" t="inlineStr">
        <is>
          <t>TRS-AU</t>
        </is>
      </c>
      <c r="B24" s="25" t="inlineStr">
        <is>
          <t>The Reject Shop Ltd.</t>
        </is>
      </c>
      <c r="C24" s="25" t="inlineStr">
        <is>
          <t>Public</t>
        </is>
      </c>
      <c r="D24" s="25" t="inlineStr">
        <is>
          <t>Australia</t>
        </is>
      </c>
      <c r="E24" s="26" t="n">
        <v>1983</v>
      </c>
      <c r="F24" s="27" t="n">
        <v>4000</v>
      </c>
      <c r="G24" s="28" t="n">
        <v>852.736</v>
      </c>
      <c r="H24" s="25" t="inlineStr">
        <is>
          <t>Pacific</t>
        </is>
      </c>
      <c r="I24" s="25" t="inlineStr">
        <is>
          <t>Victoria (VIC)</t>
        </is>
      </c>
      <c r="J24" s="28" t="n">
        <v>492.714996273185</v>
      </c>
      <c r="K24" s="25" t="inlineStr">
        <is>
          <t>The Reject Shop Ltd. engages in retailing discount variety merchandise. It offers general consumer merchandise such as toiletries, cosmetics, homeware, personal care products, hardware, basic furniture, household cleaning products, kitchenware, confectionery, snack food, lifestyle and seasonal merchandise, such as seasonal gifts, cards and wrapping, toys, leisure items and home decorations. The company was founded by Ron Hall and John Shuster in 1981 and is headquartered in Kensington, Australia.</t>
        </is>
      </c>
      <c r="L24" s="25" t="inlineStr">
        <is>
          <t>Discount Stores</t>
        </is>
      </c>
      <c r="M24" s="25" t="inlineStr">
        <is>
          <t>General Merchandise Retail</t>
        </is>
      </c>
      <c r="N24" s="25" t="inlineStr">
        <is>
          <t>Food and Staples Retail</t>
        </is>
      </c>
      <c r="O24" s="30" t="inlineStr">
        <is>
          <t>General Discount Stores</t>
        </is>
      </c>
      <c r="P24" s="28" t="n">
        <v>238.154</v>
      </c>
      <c r="Q24" s="28" t="n">
        <v>126.403005057251</v>
      </c>
      <c r="R24" s="28" t="n">
        <v>4.713</v>
      </c>
      <c r="S24" s="28" t="n">
        <v>14.8232278219754</v>
      </c>
      <c r="T24" s="28" t="n">
        <v>27.9282216301411</v>
      </c>
      <c r="U24" s="28" t="n">
        <v>0.5526915716001199</v>
      </c>
    </row>
    <row r="25" ht="15" customHeight="1">
      <c r="A25" s="25" t="inlineStr">
        <is>
          <t>MMS-AU</t>
        </is>
      </c>
      <c r="B25" s="25" t="inlineStr">
        <is>
          <t>McMillan Shakespeare Ltd.</t>
        </is>
      </c>
      <c r="C25" s="25" t="inlineStr">
        <is>
          <t>Public</t>
        </is>
      </c>
      <c r="D25" s="25" t="inlineStr">
        <is>
          <t>Australia</t>
        </is>
      </c>
      <c r="E25" s="26" t="n">
        <v>2003</v>
      </c>
      <c r="F25" s="27" t="n">
        <v>1311</v>
      </c>
      <c r="G25" s="28" t="n">
        <v>538.176999999999</v>
      </c>
      <c r="H25" s="25" t="inlineStr">
        <is>
          <t>Pacific</t>
        </is>
      </c>
      <c r="I25" s="25" t="inlineStr">
        <is>
          <t>Victoria (VIC)</t>
        </is>
      </c>
      <c r="J25" s="28" t="n">
        <v>1479.925036475</v>
      </c>
      <c r="K25" s="25" t="inlineStr">
        <is>
          <t>McMillan Shakespeare Ltd. engages in salary packaging, novated leasing, disability plan management and support co-ordination, asset management and related financial products and services. It operates through the following segments: Group Remuneration Services, Asset Management, and Plan and Support Services. The Group Remuneration Services segment offers administrative services in respect of salary packaging and facilitates the settlement of motor vehicle novated leases for customers. The Asset Management segment offers financing and ancillary management services associated with motor vehicles, commercial vehicles, and equipment. The Plan and Support Services segment engages in the management and support coordination services to participants in the National Disability Insurance Scheme (NDIS). The company was founded by Anthony G. Podesta in 1988 and is headquartered in Melbourne, Australia.</t>
        </is>
      </c>
      <c r="L25" s="25" t="inlineStr">
        <is>
          <t>Administrative Services</t>
        </is>
      </c>
      <c r="M25" s="25" t="inlineStr">
        <is>
          <t>Other Professional Services</t>
        </is>
      </c>
      <c r="N25" s="25" t="inlineStr">
        <is>
          <t>Business Services</t>
        </is>
      </c>
      <c r="O25" s="30" t="inlineStr">
        <is>
          <t>Administrative Employment Services</t>
        </is>
      </c>
      <c r="P25" s="28" t="n">
        <v>210.184999999999</v>
      </c>
      <c r="Q25" s="28" t="n">
        <v>220.675002181149</v>
      </c>
      <c r="R25" s="28" t="n">
        <v>95.78999999999991</v>
      </c>
      <c r="S25" s="28" t="n">
        <v>41.0041677737993</v>
      </c>
      <c r="T25" s="28" t="n">
        <v>39.0549949180288</v>
      </c>
      <c r="U25" s="28" t="n">
        <v>17.7989769165163</v>
      </c>
    </row>
    <row r="26" ht="15" customHeight="1">
      <c r="A26" s="25" t="inlineStr">
        <is>
          <t>PPC-AU</t>
        </is>
      </c>
      <c r="B26" s="25" t="inlineStr">
        <is>
          <t>Peet Ltd.</t>
        </is>
      </c>
      <c r="C26" s="25" t="inlineStr">
        <is>
          <t>Public</t>
        </is>
      </c>
      <c r="D26" s="25" t="inlineStr">
        <is>
          <t>Australia</t>
        </is>
      </c>
      <c r="E26" s="26" t="n">
        <v>1905</v>
      </c>
      <c r="F26" s="27" t="n">
        <v>180</v>
      </c>
      <c r="G26" s="28" t="n">
        <v>414.785</v>
      </c>
      <c r="H26" s="25" t="inlineStr">
        <is>
          <t>Pacific</t>
        </is>
      </c>
      <c r="I26" s="25" t="inlineStr">
        <is>
          <t>Western Australia (WA)</t>
        </is>
      </c>
      <c r="J26" s="28" t="n">
        <v>1111.71602739992</v>
      </c>
      <c r="K26" s="25" t="inlineStr">
        <is>
          <t>Peet Ltd. engages in the acquisition, development, and sale of residential land. It operates through the following segments: Funds Management, Company-owned Projects, Joint Arrangements, and Inter-segment Eliminations and Other Unallocated. The Funds Management segment offers equity funds towards the acquisition of land and is generally supplemented with debt funds. The Company-owned Projects segment acquires parcels of land in Australia, primarily for residential development purposes. The Joint Arrangements segment consists of government, statutory authorities, and private landowners. The Inter-segment Eliminations and Other Unallocated segment refers to the revenue, expenses, and results. The company was founded by James Thomas Peet in July 1895 and is headquartered in Perth, Australia.</t>
        </is>
      </c>
      <c r="L26" s="25" t="inlineStr">
        <is>
          <t>Other Real Estate Investment and Services</t>
        </is>
      </c>
      <c r="M26" s="25" t="inlineStr">
        <is>
          <t>Real Estate Investment and Services</t>
        </is>
      </c>
      <c r="N26" s="25" t="inlineStr">
        <is>
          <t>Real Estate</t>
        </is>
      </c>
      <c r="O26" s="30" t="inlineStr">
        <is>
          <t>Real Estate Developers</t>
        </is>
      </c>
      <c r="P26" s="28" t="n">
        <v>115.832</v>
      </c>
      <c r="Q26" s="28" t="n">
        <v>61.6010052831488</v>
      </c>
      <c r="R26" s="28" t="n">
        <v>58.4669999999999</v>
      </c>
      <c r="S26" s="28" t="n">
        <v>14.8513085092277</v>
      </c>
      <c r="T26" s="28" t="n">
        <v>27.925792880649</v>
      </c>
      <c r="U26" s="28" t="n">
        <v>14.0957363453355</v>
      </c>
    </row>
    <row r="27" ht="15" customHeight="1">
      <c r="A27" s="25" t="inlineStr">
        <is>
          <t>SFR-AU</t>
        </is>
      </c>
      <c r="B27" s="25" t="inlineStr">
        <is>
          <t>Sandfire Resources Ltd.</t>
        </is>
      </c>
      <c r="C27" s="25" t="inlineStr">
        <is>
          <t>Public</t>
        </is>
      </c>
      <c r="D27" s="25" t="inlineStr">
        <is>
          <t>Australia</t>
        </is>
      </c>
      <c r="E27" s="26" t="n">
        <v>2003</v>
      </c>
      <c r="F27" s="27" t="n">
        <v>5468</v>
      </c>
      <c r="G27" s="28" t="n">
        <v>1830.33242601674</v>
      </c>
      <c r="H27" s="25" t="inlineStr">
        <is>
          <t>Pacific</t>
        </is>
      </c>
      <c r="I27" s="25" t="inlineStr">
        <is>
          <t>Western Australia (WA)</t>
        </is>
      </c>
      <c r="J27" s="28" t="n">
        <v>4483.39219109595</v>
      </c>
      <c r="K27" s="25" t="inlineStr">
        <is>
          <t>Sandfire Resources Ltd. engages in the production and sale of copper, gold, and silver. It operates through the following segments: DeGrussa Copper Operations, MATSA Copper Operations, Black Butte Project, Motheo Copper Project, and Exploration and Other. The DeGrussa Copper Operations segment is involved in both the DeGrussa and Monty Copper-Gold mines in the Bryah basin. The company was founded on June 18, 2003 and is headquartered in West Perth, Australia.</t>
        </is>
      </c>
      <c r="L27" s="25" t="inlineStr">
        <is>
          <t>Base Metal Mining</t>
        </is>
      </c>
      <c r="M27" s="25" t="inlineStr">
        <is>
          <t>Metal Ore Mining</t>
        </is>
      </c>
      <c r="N27" s="25" t="inlineStr">
        <is>
          <t>Mining and Mineral Products</t>
        </is>
      </c>
      <c r="O27" s="30" t="inlineStr">
        <is>
          <t>Non-Ferrous Metal Ore Mining</t>
        </is>
      </c>
      <c r="P27" s="28" t="n">
        <v>360.924668251282</v>
      </c>
      <c r="Q27" s="28" t="n">
        <v>830.241308391093</v>
      </c>
      <c r="R27" s="28" t="n">
        <v>143.987859638671</v>
      </c>
      <c r="S27" s="28" t="n">
        <v>45.3601377650732</v>
      </c>
      <c r="T27" s="28" t="n">
        <v>19.7190774266479</v>
      </c>
      <c r="U27" s="28" t="n">
        <v>7.86676002632071</v>
      </c>
    </row>
    <row r="28" ht="15" customHeight="1">
      <c r="A28" s="25" t="inlineStr">
        <is>
          <t>PRU-AU</t>
        </is>
      </c>
      <c r="B28" s="25" t="inlineStr">
        <is>
          <t>Perseus Mining Ltd.</t>
        </is>
      </c>
      <c r="C28" s="25" t="inlineStr">
        <is>
          <t>Public</t>
        </is>
      </c>
      <c r="D28" s="25" t="inlineStr">
        <is>
          <t>Australia</t>
        </is>
      </c>
      <c r="E28" s="26" t="n">
        <v>2003</v>
      </c>
      <c r="F28" s="27" t="inlineStr">
        <is>
          <t>-</t>
        </is>
      </c>
      <c r="G28" s="28" t="n">
        <v>1927.14990545465</v>
      </c>
      <c r="H28" s="25" t="inlineStr">
        <is>
          <t>Pacific</t>
        </is>
      </c>
      <c r="I28" s="25" t="inlineStr">
        <is>
          <t>Western Australia (WA)</t>
        </is>
      </c>
      <c r="J28" s="28" t="n">
        <v>3785.54522188167</v>
      </c>
      <c r="K28" s="25" t="inlineStr">
        <is>
          <t>Perseus Mining Ltd. is engaged in gold mining activities, mineral exploration, evaluation, and project development. It operates through the following segments: Edikan, Sissingué, Yaouré, Sudan, Tanzania, and Corporate and Other. The Corporate and Other segment refers to investing activities and corporate management. The company was founded in 2004 and is headquartered in Subiaco, Australia.</t>
        </is>
      </c>
      <c r="L28" s="25" t="inlineStr">
        <is>
          <t>Precious Metal Mining</t>
        </is>
      </c>
      <c r="M28" s="25" t="inlineStr">
        <is>
          <t>Metal Ore Mining</t>
        </is>
      </c>
      <c r="N28" s="25" t="inlineStr">
        <is>
          <t>Mining and Mineral Products</t>
        </is>
      </c>
      <c r="O28" s="30" t="inlineStr">
        <is>
          <t>Other Gold Mining</t>
        </is>
      </c>
      <c r="P28" s="28" t="n">
        <v>905.619109640626</v>
      </c>
      <c r="Q28" s="28" t="n">
        <v>1111.02466029101</v>
      </c>
      <c r="R28" s="28" t="n">
        <v>572.651719988147</v>
      </c>
      <c r="S28" s="28" t="n">
        <v>57.6511799551934</v>
      </c>
      <c r="T28" s="28" t="n">
        <v>46.9926655460139</v>
      </c>
      <c r="U28" s="28" t="n">
        <v>29.7149546263786</v>
      </c>
    </row>
    <row r="29" ht="15" customHeight="1">
      <c r="A29" s="25" t="inlineStr">
        <is>
          <t>EHL-AU</t>
        </is>
      </c>
      <c r="B29" s="25" t="inlineStr">
        <is>
          <t>Emeco Holdings Ltd.</t>
        </is>
      </c>
      <c r="C29" s="25" t="inlineStr">
        <is>
          <t>Public</t>
        </is>
      </c>
      <c r="D29" s="25" t="inlineStr">
        <is>
          <t>Australia</t>
        </is>
      </c>
      <c r="E29" s="26" t="n">
        <v>2004</v>
      </c>
      <c r="F29" s="27" t="n">
        <v>909</v>
      </c>
      <c r="G29" s="28" t="n">
        <v>785.353999999999</v>
      </c>
      <c r="H29" s="25" t="inlineStr">
        <is>
          <t>Pacific</t>
        </is>
      </c>
      <c r="I29" s="25" t="inlineStr">
        <is>
          <t>Western Australia (WA)</t>
        </is>
      </c>
      <c r="J29" s="28" t="n">
        <v>1247.00003073421</v>
      </c>
      <c r="K29" s="25" t="inlineStr">
        <is>
          <t>Emeco Holdings Ltd. engages in the provision of open cut, underground mining equipment rental, and providing complementary equipment and mining services, including maintenance, asset and component rebuilds, fleet optimization technology, and technical and engineering services. It operates through the following segments: Emeco Rental, Force Workshops, and Emeco Underground. The Emeco Rental segment provides earthmoving equipment solutions. The Force Workshops segment refers to the maintenance, equipment, and component rebuild services in Australia. The Emeco Underground segment focuses on the underground equipment rental services solutions and associated services in Australia. The company was founded in 1972 and is headquartered in Osborne Park, Australia.</t>
        </is>
      </c>
      <c r="L29" s="25" t="inlineStr">
        <is>
          <t>Equipment and Supplies Distributors</t>
        </is>
      </c>
      <c r="M29" s="25" t="inlineStr">
        <is>
          <t>Diversified Industrials Distribution</t>
        </is>
      </c>
      <c r="N29" s="25" t="inlineStr">
        <is>
          <t>Industrial Services</t>
        </is>
      </c>
      <c r="O29" s="30" t="inlineStr">
        <is>
          <t>Industrial Machinery and Supplies Distributors</t>
        </is>
      </c>
      <c r="P29" s="28" t="n">
        <v>228.274999999999</v>
      </c>
      <c r="Q29" s="28" t="n">
        <v>288.427998436267</v>
      </c>
      <c r="R29" s="28" t="n">
        <v>75.1399999999999</v>
      </c>
      <c r="S29" s="28" t="n">
        <v>36.7258586573698</v>
      </c>
      <c r="T29" s="28" t="n">
        <v>29.0665101342834</v>
      </c>
      <c r="U29" s="28" t="n">
        <v>9.56765993424621</v>
      </c>
    </row>
    <row r="30" ht="15" customHeight="1">
      <c r="A30" s="25" t="inlineStr">
        <is>
          <t>SEK-AU</t>
        </is>
      </c>
      <c r="B30" s="25" t="inlineStr">
        <is>
          <t>SEEK Ltd.</t>
        </is>
      </c>
      <c r="C30" s="25" t="inlineStr">
        <is>
          <t>Public</t>
        </is>
      </c>
      <c r="D30" s="25" t="inlineStr">
        <is>
          <t>Australia</t>
        </is>
      </c>
      <c r="E30" s="26" t="n">
        <v>1997</v>
      </c>
      <c r="F30" s="27" t="n">
        <v>3245</v>
      </c>
      <c r="G30" s="28" t="n">
        <v>1097</v>
      </c>
      <c r="H30" s="25" t="inlineStr">
        <is>
          <t>Pacific</t>
        </is>
      </c>
      <c r="I30" s="25" t="inlineStr">
        <is>
          <t>Victoria (VIC)</t>
        </is>
      </c>
      <c r="J30" s="28" t="n">
        <v>4765.50011745298</v>
      </c>
      <c r="K30" s="25" t="inlineStr">
        <is>
          <t>SEEK Ltd. engages in the provision of online matching of hires and candidates, and other related activities. It operates through the following segments: ANZ, SEEK Asia, Brasil Online, OCC, Platform Support, Corporate Costs, and Portfolio Investment. The ANZ, SEEK Asia, Brasil Online, and OCC segments refer to the online employment marketplace services. The Platform Support segment focuses on a portfolio of investments that complement and/or have synergies with its operating platform. The Corporate Costs segment supports its core business. The Portfolio Investment segment is involved in a portfolio of investments which are managed as standalone entities. The company was founded by Paul Moss Bassat, Andrew Reuven Bassat and Matthew Myer Rockman on September 17, 1997 and is headquartered in Cremorne, Australia.</t>
        </is>
      </c>
      <c r="L30" s="25" t="inlineStr">
        <is>
          <t>Consumer Data and Services</t>
        </is>
      </c>
      <c r="M30" s="25" t="inlineStr">
        <is>
          <t>Internet and Data Services</t>
        </is>
      </c>
      <c r="N30" s="25" t="inlineStr">
        <is>
          <t>Software and Consulting</t>
        </is>
      </c>
      <c r="O30" s="30" t="inlineStr">
        <is>
          <t>Information and News Content Providers and Sites</t>
        </is>
      </c>
      <c r="P30" s="28" t="n">
        <v>502.4</v>
      </c>
      <c r="Q30" s="28" t="n">
        <v>407.500002804979</v>
      </c>
      <c r="R30" s="28" t="n">
        <v>238.3</v>
      </c>
      <c r="S30" s="28" t="n">
        <v>37.1467639015497</v>
      </c>
      <c r="T30" s="28" t="n">
        <v>45.7976298997265</v>
      </c>
      <c r="U30" s="28" t="n">
        <v>21.7228805834093</v>
      </c>
    </row>
    <row r="31" ht="15" customHeight="1">
      <c r="A31" s="25" t="inlineStr">
        <is>
          <t>CWY-AU</t>
        </is>
      </c>
      <c r="B31" s="25" t="inlineStr">
        <is>
          <t>Cleanaway Waste Management Ltd.</t>
        </is>
      </c>
      <c r="C31" s="25" t="inlineStr">
        <is>
          <t>Public</t>
        </is>
      </c>
      <c r="D31" s="25" t="inlineStr">
        <is>
          <t>Australia</t>
        </is>
      </c>
      <c r="E31" s="26" t="n">
        <v>2002</v>
      </c>
      <c r="F31" s="27" t="n">
        <v>10000</v>
      </c>
      <c r="G31" s="28" t="n">
        <v>3788.89999999999</v>
      </c>
      <c r="H31" s="25" t="inlineStr">
        <is>
          <t>Pacific</t>
        </is>
      </c>
      <c r="I31" s="25" t="inlineStr">
        <is>
          <t>Victoria (VIC)</t>
        </is>
      </c>
      <c r="J31" s="28" t="n">
        <v>6578.20016212973</v>
      </c>
      <c r="K31" s="25" t="inlineStr">
        <is>
          <t>Cleanaway Waste Management Ltd. engages in the provision of total waste management, industrial, and environmental services. It operates through the following segments: Solid Waste Services, ETS- Industrial Services, and ETS-Oils &amp; Technical Services and Health Services. The Solid Waste Services segment includes the collection, recovery, and disposal of all types of solid waste, including putrescible waste, inert waste, household waste, and recovered waste. The ETS- Industrial Services segment consists of a variety of services provided to the Resources, Oil and Gas, Infrastructure, Industrial markets and also include Services include vacuum loading, high pressure cleaning, pipeline maintenance and non-destructive digging. The ETS-Oils &amp; Technical Services and Health Services segment is involved in the collection, treatment, processing, refining and recycling, and destruction of hazardous and non-hazardous liquids, hydrocarbons and chemical waste, specialised product destruction, hazardous waste and e-waste, provision of services to the health sector for the safe treatment and disposal of health related waste which includes sharps management, medical waste, pharmaceutical waste, healthcare hazardous waste, and quarantine waste. The company was founded by Terrence Elmore Peabody in August 1987 and is headquartered in Melbourne, Australia.</t>
        </is>
      </c>
      <c r="L31" s="25" t="inlineStr">
        <is>
          <t>General Waste Collection</t>
        </is>
      </c>
      <c r="M31" s="25" t="inlineStr">
        <is>
          <t>Waste Management Services</t>
        </is>
      </c>
      <c r="N31" s="25" t="inlineStr">
        <is>
          <t>Business Services</t>
        </is>
      </c>
      <c r="O31" s="30" t="inlineStr">
        <is>
          <t>Diversified General Waste Collection</t>
        </is>
      </c>
      <c r="P31" s="28" t="n">
        <v>518.9</v>
      </c>
      <c r="Q31" s="28" t="n">
        <v>770.500004110057</v>
      </c>
      <c r="R31" s="28" t="n">
        <v>156.9</v>
      </c>
      <c r="S31" s="28" t="n">
        <v>20.3357174905645</v>
      </c>
      <c r="T31" s="28" t="n">
        <v>13.695267755813</v>
      </c>
      <c r="U31" s="28" t="n">
        <v>4.14104357465227</v>
      </c>
    </row>
    <row r="32" ht="15" customHeight="1">
      <c r="A32" s="25" t="inlineStr">
        <is>
          <t>CAJ-AU</t>
        </is>
      </c>
      <c r="B32" s="25" t="inlineStr">
        <is>
          <t>Capitol Health Ltd.</t>
        </is>
      </c>
      <c r="C32" s="25" t="inlineStr">
        <is>
          <t>Public</t>
        </is>
      </c>
      <c r="D32" s="25" t="inlineStr">
        <is>
          <t>Australia</t>
        </is>
      </c>
      <c r="E32" s="26" t="n">
        <v>2005</v>
      </c>
      <c r="F32" s="27" t="n">
        <v>1000</v>
      </c>
      <c r="G32" s="28" t="n">
        <v>234.815999999999</v>
      </c>
      <c r="H32" s="25" t="inlineStr">
        <is>
          <t>Pacific</t>
        </is>
      </c>
      <c r="I32" s="25" t="inlineStr">
        <is>
          <t>Victoria (VIC)</t>
        </is>
      </c>
      <c r="J32" s="28" t="n">
        <v>319.483997583475</v>
      </c>
      <c r="K32" s="25" t="inlineStr">
        <is>
          <t>Capitol Health Ltd. provides diagnostic imaging and related services. It provides general x-ray, magnetic resonance imaging, ultrasound, mammography, doppler, orthopantomogram, echocardiography, computer tomography, computed tomography angiography, cone beam computed tomography, nuclear medicine, bone densitomety, and fluoroscopy services. The company was founded by Andrew Duncan Harrison on December 1, 2005 and is headquartered in Docklands, Australia.</t>
        </is>
      </c>
      <c r="L32" s="25" t="inlineStr">
        <is>
          <t>Ambulatory and Outpatient Diagnostic Patient Care</t>
        </is>
      </c>
      <c r="M32" s="25" t="inlineStr">
        <is>
          <t>Patient Care</t>
        </is>
      </c>
      <c r="N32" s="25" t="inlineStr">
        <is>
          <t>Healthcare Services</t>
        </is>
      </c>
      <c r="O32" s="30" t="inlineStr">
        <is>
          <t>Other Ambulatory and Outpatient Diagnostic Care</t>
        </is>
      </c>
      <c r="P32" s="28" t="n">
        <v>44.744</v>
      </c>
      <c r="Q32" s="28" t="n">
        <v>49.282994387223</v>
      </c>
      <c r="R32" s="28" t="n">
        <v>-14.853</v>
      </c>
      <c r="S32" s="28" t="n">
        <v>20.9879224584355</v>
      </c>
      <c r="T32" s="28" t="n">
        <v>19.0549195966203</v>
      </c>
      <c r="U32" s="28" t="n">
        <v>-6.32537816843827</v>
      </c>
    </row>
    <row r="33" ht="15" customHeight="1">
      <c r="A33" s="25" t="inlineStr">
        <is>
          <t>GOR-AU</t>
        </is>
      </c>
      <c r="B33" s="25" t="inlineStr">
        <is>
          <t>Gold Road Resources Ltd.</t>
        </is>
      </c>
      <c r="C33" s="25" t="inlineStr">
        <is>
          <t>Public</t>
        </is>
      </c>
      <c r="D33" s="25" t="inlineStr">
        <is>
          <t>Australia</t>
        </is>
      </c>
      <c r="E33" s="26" t="n">
        <v>2004</v>
      </c>
      <c r="F33" s="27" t="inlineStr">
        <is>
          <t>-</t>
        </is>
      </c>
      <c r="G33" s="28" t="n">
        <v>528.459999999999</v>
      </c>
      <c r="H33" s="25" t="inlineStr">
        <is>
          <t>Pacific</t>
        </is>
      </c>
      <c r="I33" s="25" t="inlineStr">
        <is>
          <t>Western Australia (WA)</t>
        </is>
      </c>
      <c r="J33" s="28" t="n">
        <v>1536.06495235394</v>
      </c>
      <c r="K33" s="25" t="inlineStr">
        <is>
          <t>Gold Road Resources Ltd. operates as a gold exploration company. It focuses on developing the Yamarna Belt comprising Gruyere, Central Bore and Attila projects. The firm operates through Development &amp; Production and Exploration business segments. The Development &amp; Production includes Gruyere joint operation with gold fields, which transitioned from development to production phase during the year. The Exploration segment includes the activities on all mineral exploration, including all joint venture tenements. The company was founded on May 28, 2004 and is headquartered in West Perth, Australia.</t>
        </is>
      </c>
      <c r="L33" s="25" t="inlineStr">
        <is>
          <t>Precious Metal Mining</t>
        </is>
      </c>
      <c r="M33" s="25" t="inlineStr">
        <is>
          <t>Metal Ore Mining</t>
        </is>
      </c>
      <c r="N33" s="25" t="inlineStr">
        <is>
          <t>Mining and Mineral Products</t>
        </is>
      </c>
      <c r="O33" s="30" t="inlineStr">
        <is>
          <t>Asia/Pacific Gold Mining</t>
        </is>
      </c>
      <c r="P33" s="28" t="n">
        <v>224.502999999999</v>
      </c>
      <c r="Q33" s="28" t="n">
        <v>298.76299606676</v>
      </c>
      <c r="R33" s="28" t="n">
        <v>142.697</v>
      </c>
      <c r="S33" s="28" t="n">
        <v>56.5346478446808</v>
      </c>
      <c r="T33" s="28" t="n">
        <v>42.4824963100329</v>
      </c>
      <c r="U33" s="28" t="n">
        <v>27.0024221322333</v>
      </c>
    </row>
    <row r="34" ht="15" customHeight="1">
      <c r="A34" s="25" t="inlineStr">
        <is>
          <t>MIN-AU</t>
        </is>
      </c>
      <c r="B34" s="25" t="inlineStr">
        <is>
          <t>Mineral Resources Ltd.</t>
        </is>
      </c>
      <c r="C34" s="25" t="inlineStr">
        <is>
          <t>Public</t>
        </is>
      </c>
      <c r="D34" s="25" t="inlineStr">
        <is>
          <t>Australia</t>
        </is>
      </c>
      <c r="E34" s="26" t="n">
        <v>2006</v>
      </c>
      <c r="F34" s="27" t="n">
        <v>8456</v>
      </c>
      <c r="G34" s="28" t="n">
        <v>4472</v>
      </c>
      <c r="H34" s="25" t="inlineStr">
        <is>
          <t>Pacific</t>
        </is>
      </c>
      <c r="I34" s="25" t="inlineStr">
        <is>
          <t>Western Australia (WA)</t>
        </is>
      </c>
      <c r="J34" s="28" t="n">
        <v>11927.000293959</v>
      </c>
      <c r="K34" s="25" t="inlineStr">
        <is>
          <t>Mineral Resources Ltd. engages in mining and processing of mineral properties. The firm operates through the following segments: Mining Services, Iron Ore, Energy, Lithium, Other Commodities, and Central. It offers contract crushing, infrastructure, and recovery of base metals concentrate. The company was founded by Christopher J. Ellison on February 27, 2006, and is headquartered in Perth, Australia.</t>
        </is>
      </c>
      <c r="L34" s="25" t="inlineStr">
        <is>
          <t>Base Metal Mining</t>
        </is>
      </c>
      <c r="M34" s="25" t="inlineStr">
        <is>
          <t>Metal Ore Mining</t>
        </is>
      </c>
      <c r="N34" s="25" t="inlineStr">
        <is>
          <t>Mining and Mineral Products</t>
        </is>
      </c>
      <c r="O34" s="30" t="inlineStr">
        <is>
          <t>Other Base Metal Ore Mining</t>
        </is>
      </c>
      <c r="P34" s="28" t="n">
        <v>1407</v>
      </c>
      <c r="Q34" s="28" t="n">
        <v>857.0000032087451</v>
      </c>
      <c r="R34" s="28" t="n">
        <v>-903.999999999999</v>
      </c>
      <c r="S34" s="28" t="n">
        <v>19.1636851520572</v>
      </c>
      <c r="T34" s="28" t="n">
        <v>31.4624329159213</v>
      </c>
      <c r="U34" s="28" t="n">
        <v>-20.2146690518784</v>
      </c>
    </row>
    <row r="35" ht="15" customHeight="1">
      <c r="A35" s="25" t="inlineStr">
        <is>
          <t>SVR-AU</t>
        </is>
      </c>
      <c r="B35" s="25" t="inlineStr">
        <is>
          <t>Solvar Ltd.</t>
        </is>
      </c>
      <c r="C35" s="25" t="inlineStr">
        <is>
          <t>Public</t>
        </is>
      </c>
      <c r="D35" s="25" t="inlineStr">
        <is>
          <t>Australia</t>
        </is>
      </c>
      <c r="E35" s="26" t="n">
        <v>2005</v>
      </c>
      <c r="F35" s="27" t="inlineStr">
        <is>
          <t>-</t>
        </is>
      </c>
      <c r="G35" s="28" t="n">
        <v>207.381</v>
      </c>
      <c r="H35" s="25" t="inlineStr">
        <is>
          <t>Pacific</t>
        </is>
      </c>
      <c r="I35" s="25" t="inlineStr">
        <is>
          <t>Victoria (VIC)</t>
        </is>
      </c>
      <c r="J35" s="28" t="n">
        <v>961.587023699772</v>
      </c>
      <c r="K35" s="25" t="inlineStr">
        <is>
          <t>Solvar Ltd. is a non-bank credit provider. It is focused on the provision of automotive finance in Australia and New Zealand. The firm engages in providing flexible secured and unsecured personal loans to customers often excluded by traditional lenders. The company was founded on November 25, 2005 and is headquartered in Bundoora, Australia.</t>
        </is>
      </c>
      <c r="L35" s="25" t="inlineStr">
        <is>
          <t>Consumer Finance Services</t>
        </is>
      </c>
      <c r="M35" s="25" t="inlineStr">
        <is>
          <t>Specialty Finance</t>
        </is>
      </c>
      <c r="N35" s="25" t="inlineStr">
        <is>
          <t>Specialty Finance and Services</t>
        </is>
      </c>
      <c r="O35" s="30" t="inlineStr">
        <is>
          <t>Automobile Financing</t>
        </is>
      </c>
      <c r="P35" s="28" t="n">
        <v>188.321</v>
      </c>
      <c r="Q35" s="28" t="n">
        <v>98.2429980045343</v>
      </c>
      <c r="R35" s="28" t="n">
        <v>31.42</v>
      </c>
      <c r="S35" s="28" t="n">
        <v>47.37319233681</v>
      </c>
      <c r="T35" s="28" t="n">
        <v>90.8091869554106</v>
      </c>
      <c r="U35" s="28" t="n">
        <v>15.1508576002623</v>
      </c>
    </row>
    <row r="36" ht="15" customHeight="1">
      <c r="A36" s="25" t="inlineStr">
        <is>
          <t>HUM-AU</t>
        </is>
      </c>
      <c r="B36" s="25" t="inlineStr">
        <is>
          <t>Humm Group Ltd.</t>
        </is>
      </c>
      <c r="C36" s="25" t="inlineStr">
        <is>
          <t>Public</t>
        </is>
      </c>
      <c r="D36" s="25" t="inlineStr">
        <is>
          <t>Australia</t>
        </is>
      </c>
      <c r="E36" s="26" t="n">
        <v>2006</v>
      </c>
      <c r="F36" s="27" t="inlineStr">
        <is>
          <t>-</t>
        </is>
      </c>
      <c r="G36" s="28" t="n">
        <v>666.6</v>
      </c>
      <c r="H36" s="25" t="inlineStr">
        <is>
          <t>Pacific</t>
        </is>
      </c>
      <c r="I36" s="25" t="inlineStr">
        <is>
          <t>New South Wales (NSW)</t>
        </is>
      </c>
      <c r="J36" s="28" t="n">
        <v>5338.30013157051</v>
      </c>
      <c r="K36" s="25" t="inlineStr">
        <is>
          <t>Humm Group Ltd. operates as a financial services group, which engages in the financial products through a network of retailers and brokers. The firm's activities include a variety of financial risks, liquidity risk, funding risk, credit risk and market risk. It operates through the following segments: PosPP, New Zealand Cards, Australia Cards, and Commercial. The company was founded by David Berkman and Andrew Abercrombie in 1988 and is headquartered in Sydney, Australia.</t>
        </is>
      </c>
      <c r="L36" s="25" t="inlineStr">
        <is>
          <t>Consumer Finance Services</t>
        </is>
      </c>
      <c r="M36" s="25" t="inlineStr">
        <is>
          <t>Specialty Finance</t>
        </is>
      </c>
      <c r="N36" s="25" t="inlineStr">
        <is>
          <t>Specialty Finance and Services</t>
        </is>
      </c>
      <c r="O36" s="30" t="inlineStr">
        <is>
          <t>General Consumer Finance Services</t>
        </is>
      </c>
      <c r="P36" s="28" t="n">
        <v>614.099999999999</v>
      </c>
      <c r="Q36" s="28" t="n">
        <v>376.299997971212</v>
      </c>
      <c r="R36" s="28" t="n">
        <v>39.5999999999999</v>
      </c>
      <c r="S36" s="28" t="n">
        <v>56.4506450645065</v>
      </c>
      <c r="T36" s="28" t="n">
        <v>92.12421242124211</v>
      </c>
      <c r="U36" s="28" t="n">
        <v>5.94059405940594</v>
      </c>
    </row>
    <row r="37" ht="15" customHeight="1">
      <c r="A37" s="25" t="inlineStr">
        <is>
          <t>EGN-AU</t>
        </is>
      </c>
      <c r="B37" s="25" t="inlineStr">
        <is>
          <t>Engenco Ltd.</t>
        </is>
      </c>
      <c r="C37" s="25" t="inlineStr">
        <is>
          <t>Public</t>
        </is>
      </c>
      <c r="D37" s="25" t="inlineStr">
        <is>
          <t>Australia</t>
        </is>
      </c>
      <c r="E37" s="26" t="n">
        <v>2006</v>
      </c>
      <c r="F37" s="27" t="n">
        <v>500</v>
      </c>
      <c r="G37" s="28" t="n">
        <v>214.846999999999</v>
      </c>
      <c r="H37" s="25" t="inlineStr">
        <is>
          <t>Pacific</t>
        </is>
      </c>
      <c r="I37" s="25" t="inlineStr">
        <is>
          <t>Victoria (VIC)</t>
        </is>
      </c>
      <c r="J37" s="28" t="n">
        <v>190.49599855912</v>
      </c>
      <c r="K37" s="25" t="inlineStr">
        <is>
          <t>Engenco Ltd. engages in the provision of engineering services. It operates through the following business segments: Drivetrain, Convair, Gemco Rail, Workforce Solutions, and All Other. The Drivetrain segment is a provider of technical sales and services to the mining, oil &amp; gas, rail, transport, defence, marine, construction, materials handling, automotive, agriculture, and power generation industries. The Convair segment is a manufacturer of bulk pneumatic road tankers and mobile silos for the carriage and storage of construction materials, grains, and other dry bulk materials. The Gemco Rail segment provides wheelset, bogie and in-field wagon maintenance and manufactures new and refurbished wagons, bogie component parts, remote controlled ballast car discharge gates, and a range of rail maintenance equipment and spares. The Workforce Solutions segment includes the people focused business, providing training and labour hire via its business units of Centre for Excellence in Rail Training, Total Momentum and Eureka 4WD Training. The All Other segment focuses on the parent entity, non-reportable segments and consolidation / inter-segment elimination adjustments. The company was founded in 1989 and is headquartered in Melbourne, Australia.</t>
        </is>
      </c>
      <c r="L37" s="25" t="inlineStr">
        <is>
          <t>Commercial Transportation Equipment Manufacturing</t>
        </is>
      </c>
      <c r="M37" s="25" t="inlineStr">
        <is>
          <t>Transportation Equipment Manufacturing</t>
        </is>
      </c>
      <c r="N37" s="25" t="inlineStr">
        <is>
          <t>Industrial Manufacturing</t>
        </is>
      </c>
      <c r="O37" s="30" t="inlineStr">
        <is>
          <t>Mixed Commercial Transportation Equipment Makers</t>
        </is>
      </c>
      <c r="P37" s="28" t="n">
        <v>25.415</v>
      </c>
      <c r="Q37" s="28" t="n">
        <v>17.4900070086754</v>
      </c>
      <c r="R37" s="28" t="n">
        <v>3.93</v>
      </c>
      <c r="S37" s="28" t="n">
        <v>8.14067685376105</v>
      </c>
      <c r="T37" s="28" t="n">
        <v>11.829348326949</v>
      </c>
      <c r="U37" s="28" t="n">
        <v>1.82920869269759</v>
      </c>
    </row>
    <row r="38" ht="15" customHeight="1">
      <c r="A38" s="25" t="inlineStr">
        <is>
          <t>BCI-AU</t>
        </is>
      </c>
      <c r="B38" s="25" t="inlineStr">
        <is>
          <t>BCI Minerals Ltd.</t>
        </is>
      </c>
      <c r="C38" s="25" t="inlineStr">
        <is>
          <t>Public</t>
        </is>
      </c>
      <c r="D38" s="25" t="inlineStr">
        <is>
          <t>Australia</t>
        </is>
      </c>
      <c r="E38" s="26" t="n">
        <v>2006</v>
      </c>
      <c r="F38" s="27" t="inlineStr">
        <is>
          <t>-</t>
        </is>
      </c>
      <c r="G38" s="28" t="n">
        <v>0</v>
      </c>
      <c r="H38" s="25" t="inlineStr">
        <is>
          <t>Pacific</t>
        </is>
      </c>
      <c r="I38" s="25" t="inlineStr">
        <is>
          <t>Western Australia (WA)</t>
        </is>
      </c>
      <c r="J38" s="28" t="n">
        <v>1197.26802950849</v>
      </c>
      <c r="K38" s="25" t="inlineStr">
        <is>
          <t>BCI Minerals Ltd. is a mineral resources company, which engages in developing and industrial mineral business with salt and potash as its initial focus. It operates through the Mardie and Corporate and Other segments. The Mardie segment includes all activities related to the development and future operation of the Mardie Salt Operation and Potash Project which is the Group's principal project and primary focus of capital investment. The Corporate and Other segment focuses on the head office and corporate support functions, such as executive management, finance, legal, governance, and other administrative functions. The company was founded in 2006 and is headquartered in West Perth, Australia.</t>
        </is>
      </c>
      <c r="L38" s="25" t="inlineStr">
        <is>
          <t>Nonmetallic Mineral Mining</t>
        </is>
      </c>
      <c r="M38" s="25" t="inlineStr">
        <is>
          <t>Other Mining</t>
        </is>
      </c>
      <c r="N38" s="25" t="inlineStr">
        <is>
          <t>Mining and Mineral Products</t>
        </is>
      </c>
      <c r="O38" s="30" t="inlineStr">
        <is>
          <t>Other Nonmetallic Minerals Mining</t>
        </is>
      </c>
      <c r="P38" s="28" t="n">
        <v>-4.955</v>
      </c>
      <c r="Q38" s="28" t="n">
        <v>-60.9840026897958</v>
      </c>
      <c r="R38" s="28" t="n">
        <v>-60.171</v>
      </c>
      <c r="S38" s="28" t="inlineStr">
        <is>
          <t>-</t>
        </is>
      </c>
      <c r="T38" s="28" t="inlineStr">
        <is>
          <t>-</t>
        </is>
      </c>
      <c r="U38" s="28" t="inlineStr">
        <is>
          <t>-</t>
        </is>
      </c>
    </row>
    <row r="39" ht="15" customHeight="1">
      <c r="A39" s="25" t="inlineStr">
        <is>
          <t>LTR-AU</t>
        </is>
      </c>
      <c r="B39" s="25" t="inlineStr">
        <is>
          <t>Liontown Resources Ltd.</t>
        </is>
      </c>
      <c r="C39" s="25" t="inlineStr">
        <is>
          <t>Public</t>
        </is>
      </c>
      <c r="D39" s="25" t="inlineStr">
        <is>
          <t>Australia</t>
        </is>
      </c>
      <c r="E39" s="26" t="n">
        <v>2006</v>
      </c>
      <c r="F39" s="27" t="n">
        <v>306</v>
      </c>
      <c r="G39" s="28" t="n">
        <v>297.565</v>
      </c>
      <c r="H39" s="25" t="inlineStr">
        <is>
          <t>Pacific</t>
        </is>
      </c>
      <c r="I39" s="25" t="inlineStr">
        <is>
          <t>Western Australia (WA)</t>
        </is>
      </c>
      <c r="J39" s="28" t="n">
        <v>1563.54103853584</v>
      </c>
      <c r="K39" s="25" t="inlineStr">
        <is>
          <t>Liontown Resources Ltd. engages in the exploration and evaluation of minerals. Its projects include Kathleen Valley, Buldania, Moora Gold-PGE-Ni-Cu, and Toolebuc. The company was founded on February 2, 2006 and is headquartered in West Perth, Australia.</t>
        </is>
      </c>
      <c r="L39" s="25" t="inlineStr">
        <is>
          <t>Base Metal Mining</t>
        </is>
      </c>
      <c r="M39" s="25" t="inlineStr">
        <is>
          <t>Metal Ore Mining</t>
        </is>
      </c>
      <c r="N39" s="25" t="inlineStr">
        <is>
          <t>Mining and Mineral Products</t>
        </is>
      </c>
      <c r="O39" s="30" t="inlineStr">
        <is>
          <t>Lithium Ore Mining</t>
        </is>
      </c>
      <c r="P39" s="28" t="n">
        <v>-151.76</v>
      </c>
      <c r="Q39" s="28" t="n">
        <v>-26.751993470634</v>
      </c>
      <c r="R39" s="28" t="n">
        <v>-193.276999999999</v>
      </c>
      <c r="S39" s="28" t="n">
        <v>-8.990304639322501</v>
      </c>
      <c r="T39" s="28" t="n">
        <v>-51.0006217129031</v>
      </c>
      <c r="U39" s="28" t="n">
        <v>-64.9528674407272</v>
      </c>
    </row>
    <row r="40" ht="15" customHeight="1">
      <c r="A40" s="25" t="inlineStr">
        <is>
          <t>DVP-AU</t>
        </is>
      </c>
      <c r="B40" s="25" t="inlineStr">
        <is>
          <t>Develop Global Ltd.</t>
        </is>
      </c>
      <c r="C40" s="25" t="inlineStr">
        <is>
          <t>Public</t>
        </is>
      </c>
      <c r="D40" s="25" t="inlineStr">
        <is>
          <t>Australia</t>
        </is>
      </c>
      <c r="E40" s="26" t="n">
        <v>2006</v>
      </c>
      <c r="F40" s="27" t="inlineStr">
        <is>
          <t>-</t>
        </is>
      </c>
      <c r="G40" s="28" t="n">
        <v>231.47203</v>
      </c>
      <c r="H40" s="25" t="inlineStr">
        <is>
          <t>Pacific</t>
        </is>
      </c>
      <c r="I40" s="25" t="inlineStr">
        <is>
          <t>Western Australia (WA)</t>
        </is>
      </c>
      <c r="J40" s="28" t="n">
        <v>898.084936134667</v>
      </c>
      <c r="K40" s="25" t="inlineStr">
        <is>
          <t>Develop Global Ltd. engages in the exploration and production of mine base and precious metal resources. It owns the Sulphur Springs Project, Whim Creek Joint Venture Project, and Woodlawn Project. It operates through the following segments: Mining Services, Mining and Exploration, and Other. The company was founded on October 13, 2006 and is headquartered in Leederville, Australia.</t>
        </is>
      </c>
      <c r="L40" s="25" t="inlineStr">
        <is>
          <t>Base Metal Mining</t>
        </is>
      </c>
      <c r="M40" s="25" t="inlineStr">
        <is>
          <t>Metal Ore Mining</t>
        </is>
      </c>
      <c r="N40" s="25" t="inlineStr">
        <is>
          <t>Mining and Mineral Products</t>
        </is>
      </c>
      <c r="O40" s="30" t="inlineStr">
        <is>
          <t>Non-Ferrous Metal Ore Mining</t>
        </is>
      </c>
      <c r="P40" s="28" t="n">
        <v>22.125089</v>
      </c>
      <c r="Q40" s="28" t="n">
        <v>26.0634995484883</v>
      </c>
      <c r="R40" s="28" t="n">
        <v>72.3935279999999</v>
      </c>
      <c r="S40" s="28" t="n">
        <v>11.2598874257075</v>
      </c>
      <c r="T40" s="28" t="n">
        <v>9.558428722468109</v>
      </c>
      <c r="U40" s="28" t="n">
        <v>31.2752810782365</v>
      </c>
    </row>
    <row r="41" ht="15" customHeight="1">
      <c r="A41" s="25" t="inlineStr">
        <is>
          <t>WHC-AU</t>
        </is>
      </c>
      <c r="B41" s="25" t="inlineStr">
        <is>
          <t>Whitehaven Coal Ltd.</t>
        </is>
      </c>
      <c r="C41" s="25" t="inlineStr">
        <is>
          <t>Public</t>
        </is>
      </c>
      <c r="D41" s="25" t="inlineStr">
        <is>
          <t>Australia</t>
        </is>
      </c>
      <c r="E41" s="26" t="n">
        <v>2007</v>
      </c>
      <c r="F41" s="27" t="inlineStr">
        <is>
          <t>-</t>
        </is>
      </c>
      <c r="G41" s="28" t="n">
        <v>5832</v>
      </c>
      <c r="H41" s="25" t="inlineStr">
        <is>
          <t>Pacific</t>
        </is>
      </c>
      <c r="I41" s="25" t="inlineStr">
        <is>
          <t>New South Wales (NSW)</t>
        </is>
      </c>
      <c r="J41" s="28" t="n">
        <v>12227.000301353</v>
      </c>
      <c r="K41" s="25" t="inlineStr">
        <is>
          <t>Whitehaven Coal Ltd. engages in the development and operation of coal mines. It operates through the NSW Operations and QLD Operations segments. Its projects include Canyon, Maules Creek, Narrabri North, Rocglen, Sunnyside, Tarrawonga, Vickery, Werris Creek, and Other Projects. The company was founded by Keith Ross in 1999 and is headquartered in Sydney, Australia.</t>
        </is>
      </c>
      <c r="L41" s="25" t="inlineStr">
        <is>
          <t>Asia/Pacific International Coal Mining</t>
        </is>
      </c>
      <c r="M41" s="25" t="inlineStr">
        <is>
          <t>Coal and Uranium Mining</t>
        </is>
      </c>
      <c r="N41" s="25" t="inlineStr">
        <is>
          <t>Upstream Energy</t>
        </is>
      </c>
      <c r="O41" s="30" t="inlineStr">
        <is>
          <t>Asia/Pacific International Coal Mining</t>
        </is>
      </c>
      <c r="P41" s="28" t="n">
        <v>1391.99999999999</v>
      </c>
      <c r="Q41" s="28" t="n">
        <v>1350.00000664014</v>
      </c>
      <c r="R41" s="28" t="n">
        <v>648.999999999999</v>
      </c>
      <c r="S41" s="28" t="n">
        <v>23.1481481481481</v>
      </c>
      <c r="T41" s="28" t="n">
        <v>23.8683127572016</v>
      </c>
      <c r="U41" s="28" t="n">
        <v>11.1282578875171</v>
      </c>
    </row>
    <row r="42" ht="15" customHeight="1">
      <c r="A42" s="25" t="inlineStr">
        <is>
          <t>GMD-AU</t>
        </is>
      </c>
      <c r="B42" s="25" t="inlineStr">
        <is>
          <t>Genesis Minerals Ltd.</t>
        </is>
      </c>
      <c r="C42" s="25" t="inlineStr">
        <is>
          <t>Public</t>
        </is>
      </c>
      <c r="D42" s="25" t="inlineStr">
        <is>
          <t>Australia</t>
        </is>
      </c>
      <c r="E42" s="26" t="n">
        <v>2007</v>
      </c>
      <c r="F42" s="27" t="n">
        <v>1693</v>
      </c>
      <c r="G42" s="28" t="n">
        <v>920.141</v>
      </c>
      <c r="H42" s="25" t="inlineStr">
        <is>
          <t>Pacific</t>
        </is>
      </c>
      <c r="I42" s="25" t="inlineStr">
        <is>
          <t>Western Australia (WA)</t>
        </is>
      </c>
      <c r="J42" s="28" t="n">
        <v>1797.92204431251</v>
      </c>
      <c r="K42" s="25" t="inlineStr">
        <is>
          <t>Genesis Minerals Ltd. engages in the exploration and development of gold deposits in Western Australia. Its projects include Leonora Gold and Barimaia Gold. The company was founded on April 16, 2007 and is headquartered in Perth, Australia.</t>
        </is>
      </c>
      <c r="L42" s="25" t="inlineStr">
        <is>
          <t>Precious Metal Mining</t>
        </is>
      </c>
      <c r="M42" s="25" t="inlineStr">
        <is>
          <t>Metal Ore Mining</t>
        </is>
      </c>
      <c r="N42" s="25" t="inlineStr">
        <is>
          <t>Mining and Mineral Products</t>
        </is>
      </c>
      <c r="O42" s="30" t="inlineStr">
        <is>
          <t>Asia/Pacific Gold Mining</t>
        </is>
      </c>
      <c r="P42" s="28" t="n">
        <v>349.459999999999</v>
      </c>
      <c r="Q42" s="28" t="n">
        <v>454.500996423065</v>
      </c>
      <c r="R42" s="28" t="n">
        <v>221.171999999999</v>
      </c>
      <c r="S42" s="28" t="n">
        <v>49.3947123321317</v>
      </c>
      <c r="T42" s="28" t="n">
        <v>37.9789619199666</v>
      </c>
      <c r="U42" s="28" t="n">
        <v>24.0367508892659</v>
      </c>
    </row>
    <row r="43" ht="15" customHeight="1">
      <c r="A43" s="25" t="inlineStr">
        <is>
          <t>SRG-AU</t>
        </is>
      </c>
      <c r="B43" s="25" t="inlineStr">
        <is>
          <t>SRG Global Ltd.</t>
        </is>
      </c>
      <c r="C43" s="25" t="inlineStr">
        <is>
          <t>Public</t>
        </is>
      </c>
      <c r="D43" s="25" t="inlineStr">
        <is>
          <t>Australia</t>
        </is>
      </c>
      <c r="E43" s="26" t="n">
        <v>2003</v>
      </c>
      <c r="F43" s="27" t="inlineStr">
        <is>
          <t>-</t>
        </is>
      </c>
      <c r="G43" s="28" t="n">
        <v>1323.307</v>
      </c>
      <c r="H43" s="25" t="inlineStr">
        <is>
          <t>Pacific</t>
        </is>
      </c>
      <c r="I43" s="25" t="inlineStr">
        <is>
          <t>Western Australia (WA)</t>
        </is>
      </c>
      <c r="J43" s="28" t="n">
        <v>881.0800217155549</v>
      </c>
      <c r="K43" s="25" t="inlineStr">
        <is>
          <t>SRG Global Ltd. engages in the provision of asset services on land. It operates through the following segments: Maintenance and Industrial Services, Engineering and Construction, and Corporate. The Maintenance and Industrial Services segment focuses on supplying integrated services to customers across the entire asset life cycle. The Engineering and Construction segment is involved in supplying integrated products and services to customers involved in the construction of complex infrastructure. The company was founded in 1961 and is headquartered in Subiaco, Australia.</t>
        </is>
      </c>
      <c r="L43" s="25" t="inlineStr">
        <is>
          <t>Infrastructure Construction/Contracting Services</t>
        </is>
      </c>
      <c r="M43" s="25" t="inlineStr">
        <is>
          <t>Facilities and Construction Services</t>
        </is>
      </c>
      <c r="N43" s="25" t="inlineStr">
        <is>
          <t>Industrial Services</t>
        </is>
      </c>
      <c r="O43" s="30" t="inlineStr">
        <is>
          <t>Diverse Construction and Engineering Services</t>
        </is>
      </c>
      <c r="P43" s="28" t="n">
        <v>117.743999999999</v>
      </c>
      <c r="Q43" s="28" t="n">
        <v>118.795998428718</v>
      </c>
      <c r="R43" s="28" t="n">
        <v>47.4819999999999</v>
      </c>
      <c r="S43" s="28" t="n">
        <v>8.977206347431091</v>
      </c>
      <c r="T43" s="28" t="n">
        <v>8.897708543822411</v>
      </c>
      <c r="U43" s="28" t="n">
        <v>3.58813185451297</v>
      </c>
    </row>
    <row r="44" ht="15" customHeight="1">
      <c r="A44" s="25" t="inlineStr">
        <is>
          <t>SYR-AU</t>
        </is>
      </c>
      <c r="B44" s="25" t="inlineStr">
        <is>
          <t>Syrah Resources Ltd.</t>
        </is>
      </c>
      <c r="C44" s="25" t="inlineStr">
        <is>
          <t>Public</t>
        </is>
      </c>
      <c r="D44" s="25" t="inlineStr">
        <is>
          <t>Australia</t>
        </is>
      </c>
      <c r="E44" s="26" t="n">
        <v>2007</v>
      </c>
      <c r="F44" s="27" t="n">
        <v>615</v>
      </c>
      <c r="G44" s="28" t="n">
        <v>47.7805414382662</v>
      </c>
      <c r="H44" s="25" t="inlineStr">
        <is>
          <t>Pacific</t>
        </is>
      </c>
      <c r="I44" s="25" t="inlineStr">
        <is>
          <t>Victoria (VIC)</t>
        </is>
      </c>
      <c r="J44" s="28" t="n">
        <v>1117.83570788256</v>
      </c>
      <c r="K44" s="25" t="inlineStr">
        <is>
          <t>Syrah Resources Ltd. is an industrial minerals and technology company. The firm operates through two segments: Balma and Corporate. The Balma segment includes mining, mineral exploration, evaluation and development activities associated with the Balama Graphite Project in Mozambique. The Corporate segment includes corporate administration and investing activities including development of the group's battery anode material strategy. Its projects includes Balma project, Sphercial Graphite Project, and Balama Vanadium Project. The company was founded on May 4, 2007 and is headquartered in Melbourne, Australia.</t>
        </is>
      </c>
      <c r="L44" s="25" t="inlineStr">
        <is>
          <t>Nonmetallic Mineral Mining</t>
        </is>
      </c>
      <c r="M44" s="25" t="inlineStr">
        <is>
          <t>Other Mining</t>
        </is>
      </c>
      <c r="N44" s="25" t="inlineStr">
        <is>
          <t>Mining and Mineral Products</t>
        </is>
      </c>
      <c r="O44" s="30" t="inlineStr">
        <is>
          <t>Other Nonmetallic Minerals Mining</t>
        </is>
      </c>
      <c r="P44" s="28" t="n">
        <v>-108.935874619404</v>
      </c>
      <c r="Q44" s="28" t="n">
        <v>-115.955290371559</v>
      </c>
      <c r="R44" s="28" t="n">
        <v>-187.501784583037</v>
      </c>
      <c r="S44" s="28" t="n">
        <v>-242.683080830755</v>
      </c>
      <c r="T44" s="28" t="n">
        <v>-227.992130981088</v>
      </c>
      <c r="U44" s="28" t="n">
        <v>-392.422896306637</v>
      </c>
    </row>
    <row r="45" ht="15" customHeight="1">
      <c r="A45" s="25" t="inlineStr">
        <is>
          <t>NHF-AU</t>
        </is>
      </c>
      <c r="B45" s="25" t="inlineStr">
        <is>
          <t>NIB Holdings Ltd.</t>
        </is>
      </c>
      <c r="C45" s="25" t="inlineStr">
        <is>
          <t>Public</t>
        </is>
      </c>
      <c r="D45" s="25" t="inlineStr">
        <is>
          <t>Australia</t>
        </is>
      </c>
      <c r="E45" s="26" t="n">
        <v>2007</v>
      </c>
      <c r="F45" s="27" t="inlineStr">
        <is>
          <t>-</t>
        </is>
      </c>
      <c r="G45" s="28" t="n">
        <v>3563.19999999999</v>
      </c>
      <c r="H45" s="25" t="inlineStr">
        <is>
          <t>Pacific</t>
        </is>
      </c>
      <c r="I45" s="25" t="inlineStr">
        <is>
          <t>New South Wales (NSW)</t>
        </is>
      </c>
      <c r="J45" s="28" t="n">
        <v>2187.20005390687</v>
      </c>
      <c r="K45" s="25" t="inlineStr">
        <is>
          <t>NIB Holdings Ltd. engages in the provision of health and medical insurance. It operates through the following segments: Australian Residents Health Insurance, International (Inbound) Health Insurance, New Zealand Insurance, nib Travel, and nib Thrive. The Australian Residents Health Insurance segment offers product within the Australian private health insurance industry. The International (Inbound) Health Insurance segment includes health insurance products for international students and workers. The New Zealand Insurance segment consists of product for the New Zealand private health insurance industry. The nib Travel segment pertains to distribution of travel insurance products. The nib Thrive segment is involved in offering as a plan manager under the National Disability Insurance Scheme. The company was founded in 1952 and is headquartered in Newcastle, Australia.</t>
        </is>
      </c>
      <c r="L45" s="25" t="inlineStr">
        <is>
          <t>Life and Health Insurance</t>
        </is>
      </c>
      <c r="M45" s="25" t="inlineStr">
        <is>
          <t>Insurance</t>
        </is>
      </c>
      <c r="N45" s="25" t="inlineStr">
        <is>
          <t>Insurance</t>
        </is>
      </c>
      <c r="O45" s="30" t="inlineStr">
        <is>
          <t>Supplemental Health Insurance</t>
        </is>
      </c>
      <c r="P45" s="28" t="inlineStr">
        <is>
          <t>-</t>
        </is>
      </c>
      <c r="Q45" s="28" t="inlineStr">
        <is>
          <t>-</t>
        </is>
      </c>
      <c r="R45" s="28" t="n">
        <v>195.499999999999</v>
      </c>
      <c r="S45" s="28" t="inlineStr">
        <is>
          <t>-</t>
        </is>
      </c>
      <c r="T45" s="28" t="inlineStr">
        <is>
          <t>-</t>
        </is>
      </c>
      <c r="U45" s="28" t="n">
        <v>5.48664122137405</v>
      </c>
    </row>
    <row r="46" ht="15" customHeight="1">
      <c r="A46" s="25" t="inlineStr">
        <is>
          <t>GEM-AU</t>
        </is>
      </c>
      <c r="B46" s="25" t="inlineStr">
        <is>
          <t>G8 Education Ltd.</t>
        </is>
      </c>
      <c r="C46" s="25" t="inlineStr">
        <is>
          <t>Public</t>
        </is>
      </c>
      <c r="D46" s="25" t="inlineStr">
        <is>
          <t>Australia</t>
        </is>
      </c>
      <c r="E46" s="26" t="n">
        <v>2007</v>
      </c>
      <c r="F46" s="27" t="n">
        <v>7099</v>
      </c>
      <c r="G46" s="28" t="n">
        <v>1015.268</v>
      </c>
      <c r="H46" s="25" t="inlineStr">
        <is>
          <t>Pacific</t>
        </is>
      </c>
      <c r="I46" s="25" t="inlineStr">
        <is>
          <t>Queensland (QLD)</t>
        </is>
      </c>
      <c r="J46" s="28" t="n">
        <v>2068.30393584481</v>
      </c>
      <c r="K46" s="25" t="inlineStr">
        <is>
          <t>G8 Education Ltd. engages in the provision of quality early childhood education and care. The firm is also involved in managing child care centres. The company was founded in 2006 and is headquartered in Gold Coast, Australia.</t>
        </is>
      </c>
      <c r="L46" s="25" t="inlineStr">
        <is>
          <t>Educational Services</t>
        </is>
      </c>
      <c r="M46" s="25" t="inlineStr">
        <is>
          <t>Personal Professional Services</t>
        </is>
      </c>
      <c r="N46" s="25" t="inlineStr">
        <is>
          <t>Household Services</t>
        </is>
      </c>
      <c r="O46" s="30" t="inlineStr">
        <is>
          <t>Other Educational Services</t>
        </is>
      </c>
      <c r="P46" s="28" t="n">
        <v>254.701999999999</v>
      </c>
      <c r="Q46" s="28" t="n">
        <v>261.648995070469</v>
      </c>
      <c r="R46" s="28" t="n">
        <v>67.688</v>
      </c>
      <c r="S46" s="28" t="n">
        <v>25.7714219299732</v>
      </c>
      <c r="T46" s="28" t="n">
        <v>25.0871691021484</v>
      </c>
      <c r="U46" s="28" t="n">
        <v>6.66700812002348</v>
      </c>
    </row>
    <row r="47" ht="15" customHeight="1">
      <c r="A47" s="25" t="inlineStr">
        <is>
          <t>CKF-AU</t>
        </is>
      </c>
      <c r="B47" s="25" t="inlineStr">
        <is>
          <t>Collins Foods Ltd.</t>
        </is>
      </c>
      <c r="C47" s="25" t="inlineStr">
        <is>
          <t>Public</t>
        </is>
      </c>
      <c r="D47" s="25" t="inlineStr">
        <is>
          <t>Australia</t>
        </is>
      </c>
      <c r="E47" s="26" t="n">
        <v>2011</v>
      </c>
      <c r="F47" s="27" t="inlineStr">
        <is>
          <t>-</t>
        </is>
      </c>
      <c r="G47" s="28" t="n">
        <v>1519.20207759712</v>
      </c>
      <c r="H47" s="25" t="inlineStr">
        <is>
          <t>Pacific</t>
        </is>
      </c>
      <c r="I47" s="25" t="inlineStr">
        <is>
          <t>Queensland (QLD)</t>
        </is>
      </c>
      <c r="J47" s="28" t="n">
        <v>1657.22247753631</v>
      </c>
      <c r="K47" s="25" t="inlineStr">
        <is>
          <t>Collins Foods Ltd. engages in the operation of restaurants and food service retail outlets. It operates through the following business segments: KFC Restaurants Australia, KFC Restaurants Europe, Taco Bell Restaurants, and Other. The company was founded on June 10, 2011 and is headquartered in Hamilton, Australia.</t>
        </is>
      </c>
      <c r="L47" s="25" t="inlineStr">
        <is>
          <t>Restaurants and Bars</t>
        </is>
      </c>
      <c r="M47" s="25" t="inlineStr">
        <is>
          <t>Hospitality Services</t>
        </is>
      </c>
      <c r="N47" s="25" t="inlineStr">
        <is>
          <t>Hospitality Services</t>
        </is>
      </c>
      <c r="O47" s="30" t="inlineStr">
        <is>
          <t>Limited-Service and Fast Food Restaurants</t>
        </is>
      </c>
      <c r="P47" s="28" t="n">
        <v>776.277389238271</v>
      </c>
      <c r="Q47" s="28" t="n">
        <v>236.494330801245</v>
      </c>
      <c r="R47" s="28" t="n">
        <v>8.8323318915063</v>
      </c>
      <c r="S47" s="28" t="n">
        <v>15.5670096986553</v>
      </c>
      <c r="T47" s="28" t="n">
        <v>51.0977045572558</v>
      </c>
      <c r="U47" s="28" t="n">
        <v>0.581379661188729</v>
      </c>
    </row>
    <row r="48" ht="15" customHeight="1">
      <c r="A48" s="25" t="inlineStr">
        <is>
          <t>WBC-AU</t>
        </is>
      </c>
      <c r="B48" s="25" t="inlineStr">
        <is>
          <t>Westpac Banking Corp.</t>
        </is>
      </c>
      <c r="C48" s="25" t="inlineStr">
        <is>
          <t>Public</t>
        </is>
      </c>
      <c r="D48" s="25" t="inlineStr">
        <is>
          <t>Australia</t>
        </is>
      </c>
      <c r="E48" s="26" t="n">
        <v>2002</v>
      </c>
      <c r="F48" s="27" t="n">
        <v>35236</v>
      </c>
      <c r="G48" s="28" t="n">
        <v>58417</v>
      </c>
      <c r="H48" s="25" t="inlineStr">
        <is>
          <t>Pacific</t>
        </is>
      </c>
      <c r="I48" s="25" t="inlineStr">
        <is>
          <t>New South Wales (NSW)</t>
        </is>
      </c>
      <c r="J48" s="28" t="n">
        <v>1126375.04286709</v>
      </c>
      <c r="K48" s="25" t="inlineStr">
        <is>
          <t>Westpac Banking Corp. engages in the provision of banking and financial services. It operates through the following segments: Consumer, Business, Westpac Institutional Bank, Westpac New Zealand, Specialist Businesses and Group Businesses. The Consumer segment provides banking products, including mortgages, credit cards, personal loans, and savings and deposit products. The Business segment serves the banking needs of SME and commercial customers, including agribusiness and provides banking and advisory services to high net worth individuals through private wealth. The Westpac Institutional Bank segment provides a broad range of financial products and services to corporate, institutional and government customers. The Westpac New Zealand segment provides banking, wealth and insurance products and services for consumer, business and institutional customers in New Zealand. The Specialist Businesses segment comprises the operations that Westpac ultimately plans to exit with agreements in place for the sale of Westpac Life Insurance and motor vehicle dealer finance and notated leasing businesses. The Group Businesses segment includes the results of unallocated support functions such as treasury, chief operating office and core support. It also includes group-wide elimination entries arising on consolidation, centrally raised provisions and other unallocated revenue and expenses. The company was founded in 1817 and is headquartered in Sydney, Australia.</t>
        </is>
      </c>
      <c r="L48" s="25" t="inlineStr">
        <is>
          <t>Asia/Pacific Banks</t>
        </is>
      </c>
      <c r="M48" s="25" t="inlineStr">
        <is>
          <t>International Banks</t>
        </is>
      </c>
      <c r="N48" s="25" t="inlineStr">
        <is>
          <t>Banking</t>
        </is>
      </c>
      <c r="O48" s="30" t="inlineStr">
        <is>
          <t>Australia and New Zealand Banks</t>
        </is>
      </c>
      <c r="P48" s="28" t="inlineStr">
        <is>
          <t>-</t>
        </is>
      </c>
      <c r="Q48" s="28" t="inlineStr">
        <is>
          <t>-</t>
        </is>
      </c>
      <c r="R48" s="28" t="n">
        <v>6910</v>
      </c>
      <c r="S48" s="28" t="inlineStr">
        <is>
          <t>-</t>
        </is>
      </c>
      <c r="T48" s="28" t="inlineStr">
        <is>
          <t>-</t>
        </is>
      </c>
      <c r="U48" s="28" t="n">
        <v>11.8287484807505</v>
      </c>
    </row>
    <row r="49" ht="15" customHeight="1">
      <c r="A49" s="25" t="inlineStr">
        <is>
          <t>CBA-AU</t>
        </is>
      </c>
      <c r="B49" s="25" t="inlineStr">
        <is>
          <t>Commonwealth Bank of Australia</t>
        </is>
      </c>
      <c r="C49" s="25" t="inlineStr">
        <is>
          <t>Public</t>
        </is>
      </c>
      <c r="D49" s="25" t="inlineStr">
        <is>
          <t>Australia</t>
        </is>
      </c>
      <c r="E49" s="26" t="n">
        <v>1991</v>
      </c>
      <c r="F49" s="27" t="n">
        <v>51346</v>
      </c>
      <c r="G49" s="28" t="n">
        <v>69856.9999999999</v>
      </c>
      <c r="H49" s="25" t="inlineStr">
        <is>
          <t>Pacific</t>
        </is>
      </c>
      <c r="I49" s="25" t="inlineStr">
        <is>
          <t>New South Wales (NSW)</t>
        </is>
      </c>
      <c r="J49" s="28" t="n">
        <v>1353799.03336643</v>
      </c>
      <c r="K49" s="25" t="inlineStr">
        <is>
          <t>Commonwealth Bank of Australia engages in the provision of banking and financial services. It operates through the following segments: Retail Banking Services, Business Banking, Institutional Banking and Markets, New Zealand, Corporate Centre and Other, and Wealth Management. The Retail Banking Services segment provides home loan, consumer finance, and retail deposit products and servicing to all retail bank customers and non-relationship managed small business customers. The Business Banking segment offers specialized banking services to relationship managed business and Agribusiness customers, private banking to high-net-worth individuals, and margin lending and trading through CommSec. The Institutional Banking and Markets segment serves the firm's major corporate, institutional, and government clients using a relationship management model based on industry expertise and insights. The New Zealand segment comprises of banking, funds management, and insurance businesses operating in New Zealand. The Corporate Centre and Other segments include support functions such as investor relations, group marketing and strategy, group governance, and group treasury. The Wealth Management segment includes the global asset management, platform administration, and financial advice and life and general insurance businesses of the Australian operations. The company was founded in 1911 and is headquartered in Sydney, Australia.</t>
        </is>
      </c>
      <c r="L49" s="25" t="inlineStr">
        <is>
          <t>Asia/Pacific Banks</t>
        </is>
      </c>
      <c r="M49" s="25" t="inlineStr">
        <is>
          <t>International Banks</t>
        </is>
      </c>
      <c r="N49" s="25" t="inlineStr">
        <is>
          <t>Banking</t>
        </is>
      </c>
      <c r="O49" s="30" t="inlineStr">
        <is>
          <t>Australia and New Zealand Banks</t>
        </is>
      </c>
      <c r="P49" s="28" t="inlineStr">
        <is>
          <t>-</t>
        </is>
      </c>
      <c r="Q49" s="28" t="inlineStr">
        <is>
          <t>-</t>
        </is>
      </c>
      <c r="R49" s="28" t="n">
        <v>10133</v>
      </c>
      <c r="S49" s="28" t="inlineStr">
        <is>
          <t>-</t>
        </is>
      </c>
      <c r="T49" s="28" t="inlineStr">
        <is>
          <t>-</t>
        </is>
      </c>
      <c r="U49" s="28" t="n">
        <v>14.5053466367007</v>
      </c>
    </row>
    <row r="50" ht="15" customHeight="1">
      <c r="A50" s="25" t="inlineStr">
        <is>
          <t>AMP-AU</t>
        </is>
      </c>
      <c r="B50" s="25" t="inlineStr">
        <is>
          <t>AMP Ltd.</t>
        </is>
      </c>
      <c r="C50" s="25" t="inlineStr">
        <is>
          <t>Public</t>
        </is>
      </c>
      <c r="D50" s="25" t="inlineStr">
        <is>
          <t>Australia</t>
        </is>
      </c>
      <c r="E50" s="26" t="n">
        <v>1997</v>
      </c>
      <c r="F50" s="27" t="inlineStr">
        <is>
          <t>-</t>
        </is>
      </c>
      <c r="G50" s="28" t="n">
        <v>2679</v>
      </c>
      <c r="H50" s="25" t="inlineStr">
        <is>
          <t>Pacific</t>
        </is>
      </c>
      <c r="I50" s="25" t="inlineStr">
        <is>
          <t>New South Wales (NSW)</t>
        </is>
      </c>
      <c r="J50" s="28" t="n">
        <v>33160.9989714035</v>
      </c>
      <c r="K50" s="25" t="inlineStr">
        <is>
          <t>AMP Ltd. engages in offering services in financial advice and superannuation, retirement income, banking, and investment products. It operates through the following segments: AMP Bank, Platforms, Superannuation &amp; Investments, New Zealand Wealth Management, and Group. The AMP Bank segment offers residential mortgages, deposits, and transactional banking services. The Platforms segment provides superannuation, retirement, and investment solutions. The Superannuation &amp; Investments segment market competitive super and pension solution across individual and corporate super through SignatureSuper. The New Zealand Wealth Management segment focuses on the wealth management solutions. The Group segment includes partnerships, costs not recovered from business units, investments income, and interest expense on corporate dept. The company was founded in 1849 and is headquartered in Sydney, Australia.</t>
        </is>
      </c>
      <c r="L50" s="25" t="inlineStr">
        <is>
          <t>Asset Management and Financial Advisory Services</t>
        </is>
      </c>
      <c r="M50" s="25" t="inlineStr">
        <is>
          <t>Investment Services</t>
        </is>
      </c>
      <c r="N50" s="25" t="inlineStr">
        <is>
          <t>Investment Services</t>
        </is>
      </c>
      <c r="O50" s="30" t="inlineStr">
        <is>
          <t>Diverse Asset Management and Financial Advisors</t>
        </is>
      </c>
      <c r="P50" s="28" t="n">
        <v>856</v>
      </c>
      <c r="Q50" s="28" t="n">
        <v>141.000004829933</v>
      </c>
      <c r="R50" s="28" t="n">
        <v>179.999999999999</v>
      </c>
      <c r="S50" s="28" t="n">
        <v>5.26315789473684</v>
      </c>
      <c r="T50" s="28" t="n">
        <v>31.9522209779769</v>
      </c>
      <c r="U50" s="28" t="n">
        <v>6.71892497200448</v>
      </c>
    </row>
    <row r="51" ht="15" customHeight="1">
      <c r="A51" s="25" t="inlineStr">
        <is>
          <t>DOW-AU</t>
        </is>
      </c>
      <c r="B51" s="25" t="inlineStr">
        <is>
          <t>Downer EDI Ltd.</t>
        </is>
      </c>
      <c r="C51" s="25" t="inlineStr">
        <is>
          <t>Public</t>
        </is>
      </c>
      <c r="D51" s="25" t="inlineStr">
        <is>
          <t>Australia</t>
        </is>
      </c>
      <c r="E51" s="26" t="n">
        <v>1933</v>
      </c>
      <c r="F51" s="27" t="n">
        <v>26000</v>
      </c>
      <c r="G51" s="28" t="n">
        <v>10472.1</v>
      </c>
      <c r="H51" s="25" t="inlineStr">
        <is>
          <t>Pacific</t>
        </is>
      </c>
      <c r="I51" s="25" t="inlineStr">
        <is>
          <t>New South Wales (NSW)</t>
        </is>
      </c>
      <c r="J51" s="28" t="n">
        <v>6773.90016695305</v>
      </c>
      <c r="K51" s="25" t="inlineStr">
        <is>
          <t>Downer EDI Ltd. engages in the provision of integrated services. It operates through following business segments: Transport; Utilities; Facilities; Engineering, Construction, and Maintenance (EC&amp;M); and Mining.. The Transport segment comprises the Group's road, rail infrastructure, bridge, airport and port businesses and provides a broad range of transport infrastructure services. The Utilities segment consists of the power, gas, water, renewable, energy and telecommunications businesses. The Facilities segment provides outsourced facility services to customers across a diverse range of industry sectors including: defense, education, government, healthcare, resources, leisure, and hospitality. The EC&amp;M segment manages the design, engineering, construction, and maintenance services for greenfield and brownfield projects across a range of sectors and all stages of the project lifecycle. The Mining handles services across all stages of the mining lifecycle including: asset management; blasting services, explosive supply; civil projects; crushing; exploration drilling; mine closure and mine site rehabilitation; mobile plant maintenance; open cut mining; training and development for ATSI employees; tyre management; and underground mining. The company was founded in 1933 and is headquartered in North Ryde, Australia.</t>
        </is>
      </c>
      <c r="L51" s="25" t="inlineStr">
        <is>
          <t>Infrastructure Construction/Contracting Services</t>
        </is>
      </c>
      <c r="M51" s="25" t="inlineStr">
        <is>
          <t>Facilities and Construction Services</t>
        </is>
      </c>
      <c r="N51" s="25" t="inlineStr">
        <is>
          <t>Industrial Services</t>
        </is>
      </c>
      <c r="O51" s="30" t="inlineStr">
        <is>
          <t>Infrastructure Construction</t>
        </is>
      </c>
      <c r="P51" s="28" t="n">
        <v>1236.59999999999</v>
      </c>
      <c r="Q51" s="28" t="n">
        <v>659.599999053553</v>
      </c>
      <c r="R51" s="28" t="n">
        <v>136.699999999999</v>
      </c>
      <c r="S51" s="28" t="n">
        <v>6.29864115124951</v>
      </c>
      <c r="T51" s="28" t="n">
        <v>11.8085197811327</v>
      </c>
      <c r="U51" s="28" t="n">
        <v>1.30537332531202</v>
      </c>
    </row>
    <row r="52" ht="15" customHeight="1">
      <c r="A52" s="25" t="inlineStr">
        <is>
          <t>WOW-AU</t>
        </is>
      </c>
      <c r="B52" s="25" t="inlineStr">
        <is>
          <t>Woolworths Group Ltd.</t>
        </is>
      </c>
      <c r="C52" s="25" t="inlineStr">
        <is>
          <t>Public</t>
        </is>
      </c>
      <c r="D52" s="25" t="inlineStr">
        <is>
          <t>Australia</t>
        </is>
      </c>
      <c r="E52" s="26" t="n">
        <v>1924</v>
      </c>
      <c r="F52" s="27" t="n">
        <v>202000</v>
      </c>
      <c r="G52" s="28" t="n">
        <v>69080.16583792761</v>
      </c>
      <c r="H52" s="25" t="inlineStr">
        <is>
          <t>Pacific</t>
        </is>
      </c>
      <c r="I52" s="25" t="inlineStr">
        <is>
          <t>New South Wales (NSW)</t>
        </is>
      </c>
      <c r="J52" s="28" t="n">
        <v>33961.145368274</v>
      </c>
      <c r="K52" s="25" t="inlineStr">
        <is>
          <t>Woolworths Group Ltd. engages in the operation of general merchandise consumer stores and supermarkets in Australia, New Zealand and India. It operates through the following segments: Australian Food, Australian B2B, New Zealand Food, Big W, and Other. The Australian Food segment is involved in procurement of food and related products for resale and provision of services to retail customers. The Australian B2B segment pertains to the procurement and distribution of food and related products for resale to other businesses and provision of supply chain services. The New Zealand Food segment refers to the procurement of food and drinks for resale and provision of services to retail and wholesale customers. The BIG W segment is focused on the procurement of discount general merchandise products for resale to retail customers. The Other segment is comprised of Quantium and MyDeal. The company was founded by Percy Christmas, Stanley Edward Chatterton, Cecil Scott Waine, George William Percival Creed, and Ernest Robert Williams on December 5, 1924, and is headquartered in Sydney, Australia.</t>
        </is>
      </c>
      <c r="L52" s="25" t="inlineStr">
        <is>
          <t>Grocery Stores</t>
        </is>
      </c>
      <c r="M52" s="25" t="inlineStr">
        <is>
          <t>Food and Beverage Retail</t>
        </is>
      </c>
      <c r="N52" s="25" t="inlineStr">
        <is>
          <t>Food and Staples Retail</t>
        </is>
      </c>
      <c r="O52" s="30" t="inlineStr">
        <is>
          <t>Supermarkets</t>
        </is>
      </c>
      <c r="P52" s="28" t="n">
        <v>16241.7443342035</v>
      </c>
      <c r="Q52" s="28" t="n">
        <v>5434.24903334746</v>
      </c>
      <c r="R52" s="28" t="n">
        <v>963.044134833944</v>
      </c>
      <c r="S52" s="28" t="n">
        <v>7.86658366750148</v>
      </c>
      <c r="T52" s="28" t="n">
        <v>23.5114437511762</v>
      </c>
      <c r="U52" s="28" t="n">
        <v>1.39409644309973</v>
      </c>
    </row>
    <row r="53" ht="15" customHeight="1">
      <c r="A53" s="25" t="inlineStr">
        <is>
          <t>WES-AU</t>
        </is>
      </c>
      <c r="B53" s="25" t="inlineStr">
        <is>
          <t>Wesfarmers Ltd.</t>
        </is>
      </c>
      <c r="C53" s="25" t="inlineStr">
        <is>
          <t>Public</t>
        </is>
      </c>
      <c r="D53" s="25" t="inlineStr">
        <is>
          <t>Australia</t>
        </is>
      </c>
      <c r="E53" s="26" t="n">
        <v>1981</v>
      </c>
      <c r="F53" s="27" t="n">
        <v>118000</v>
      </c>
      <c r="G53" s="28" t="n">
        <v>45575.9999999999</v>
      </c>
      <c r="H53" s="25" t="inlineStr">
        <is>
          <t>Pacific</t>
        </is>
      </c>
      <c r="I53" s="25" t="inlineStr">
        <is>
          <t>Western Australia (WA)</t>
        </is>
      </c>
      <c r="J53" s="28" t="n">
        <v>30269.0007460254</v>
      </c>
      <c r="K53" s="25" t="inlineStr">
        <is>
          <t>Wesfarmers Ltd. engages in the provision of fresh food, groceries, general merchandise, liquor, fuel, and financial services. It operates through the following segments: Bunnings; Kmart Group; Chemicals, Energy, and Fertilisers (WesCEF); Officeworks; Industrial and Safety; Health; Catch; and Other. The Bunnings segment consists of retailers of building materials and home and garden improvement products and servicing households and commercial customers including builders, trades, and businesses. The Kmart Group segment comprises of Kmart and Target which are retailers of apparel and general merchandise, including toys, leisure, entertainment, home, and consumable; and Catch which is an online retailer offering branded products on a first-party basis and a third-party online marketplace. The WesCEF segment refers to manufacturer and marketer of chemicals for industry, mining, mineral processing, broadacre and horticultural fertilisers, marketer and distributor of LPG and LNG; and manufacturer of wood-plastic composite decking and screening products. The Officeworks segment covers the retail and supply of office products and solutions for households, small-to-medium sized businesses, and the education sector. The Industrial and Safety segment supplies and distributes maintenance, repair, and operating products; manufactures and markets industrial gases and equipment; supplies, manufactures, and distributes workwear clothing in Australia and internationally. The Health segment wholesales and retails pharmaceutical, health, wellbeing, and beauty products. The Catch segment operates as an online retailer offering branded products on first-party basis and a third-party online marketplace. The Other segment includes food and stables retailing; forest products; property; investment banking; OneDigital, and Corporate. The company was founded in 1914 and is headquartered in Perth, Australia.</t>
        </is>
      </c>
      <c r="L53" s="25" t="inlineStr">
        <is>
          <t>Mixed Home Improvement and Furnishings Stores</t>
        </is>
      </c>
      <c r="M53" s="25" t="inlineStr">
        <is>
          <t>Home Improvement Retail</t>
        </is>
      </c>
      <c r="N53" s="25" t="inlineStr">
        <is>
          <t>Consumer Retail</t>
        </is>
      </c>
      <c r="O53" s="30" t="inlineStr">
        <is>
          <t>Mixed Home Improvement and Furnishings Stores</t>
        </is>
      </c>
      <c r="P53" s="28" t="n">
        <v>6961.99999999999</v>
      </c>
      <c r="Q53" s="28" t="n">
        <v>5659.99999993144</v>
      </c>
      <c r="R53" s="28" t="n">
        <v>2925.99999999999</v>
      </c>
      <c r="S53" s="28" t="n">
        <v>12.4188169211866</v>
      </c>
      <c r="T53" s="28" t="n">
        <v>15.2755836405125</v>
      </c>
      <c r="U53" s="28" t="n">
        <v>6.42004563805512</v>
      </c>
    </row>
    <row r="54" ht="15" customHeight="1">
      <c r="A54" s="25" t="inlineStr">
        <is>
          <t>QAN-AU</t>
        </is>
      </c>
      <c r="B54" s="25" t="inlineStr">
        <is>
          <t>Qantas Airways Ltd.</t>
        </is>
      </c>
      <c r="C54" s="25" t="inlineStr">
        <is>
          <t>Public</t>
        </is>
      </c>
      <c r="D54" s="25" t="inlineStr">
        <is>
          <t>Australia</t>
        </is>
      </c>
      <c r="E54" s="26" t="n">
        <v>1950</v>
      </c>
      <c r="F54" s="27" t="n">
        <v>25000</v>
      </c>
      <c r="G54" s="28" t="n">
        <v>23409</v>
      </c>
      <c r="H54" s="25" t="inlineStr">
        <is>
          <t>Pacific</t>
        </is>
      </c>
      <c r="I54" s="25" t="inlineStr">
        <is>
          <t>New South Wales (NSW)</t>
        </is>
      </c>
      <c r="J54" s="28" t="n">
        <v>23356.0005756441</v>
      </c>
      <c r="K54" s="25" t="inlineStr">
        <is>
          <t>Qantas Airways Ltd. engages in international and domestic air transportation services. It operates through the following segments: Qantas Domestic, Qantas International, Jetstar Group, Qantas Loyalty, and Corporate. The Qantas Domestic segment is involved in the carrier in the Australian domestic market measured by capacity. The Qantas International segment refers to the carrier into and out of Australia, also targeting business and leisure customers who value the full-service experience. The Jetstar Group segment focuses on operations in Australia, delivering low fares and a differentiated product offering to the price-sensitive market. The Qantas Loyalty segment consists of consumer and SME coalition loyalty programs. The Corporate segment refers to centralized management and governance of the Qantas Group. The company was founded on November 16, 1920 and is headquartered in Mascot, Australia.</t>
        </is>
      </c>
      <c r="L54" s="25" t="inlineStr">
        <is>
          <t>Air Passenger Transportation</t>
        </is>
      </c>
      <c r="M54" s="25" t="inlineStr">
        <is>
          <t>Passenger Transportation</t>
        </is>
      </c>
      <c r="N54" s="25" t="inlineStr">
        <is>
          <t>Industrial Services</t>
        </is>
      </c>
      <c r="O54" s="30" t="inlineStr">
        <is>
          <t>Asia/Pacific Air Passenger Service Providers</t>
        </is>
      </c>
      <c r="P54" s="28" t="n">
        <v>4851</v>
      </c>
      <c r="Q54" s="28" t="n">
        <v>4052.99999989634</v>
      </c>
      <c r="R54" s="28" t="n">
        <v>1605</v>
      </c>
      <c r="S54" s="28" t="n">
        <v>17.3138536460336</v>
      </c>
      <c r="T54" s="28" t="n">
        <v>20.722798923491</v>
      </c>
      <c r="U54" s="28" t="n">
        <v>6.8563373061643</v>
      </c>
    </row>
    <row r="55" ht="15" customHeight="1">
      <c r="A55" s="25" t="inlineStr">
        <is>
          <t>SUN-AU</t>
        </is>
      </c>
      <c r="B55" s="25" t="inlineStr">
        <is>
          <t>Suncorp Group Ltd.</t>
        </is>
      </c>
      <c r="C55" s="25" t="inlineStr">
        <is>
          <t>Public</t>
        </is>
      </c>
      <c r="D55" s="25" t="inlineStr">
        <is>
          <t>Australia</t>
        </is>
      </c>
      <c r="E55" s="26" t="n">
        <v>2010</v>
      </c>
      <c r="F55" s="27" t="n">
        <v>11500</v>
      </c>
      <c r="G55" s="28" t="n">
        <v>16848</v>
      </c>
      <c r="H55" s="25" t="inlineStr">
        <is>
          <t>Pacific</t>
        </is>
      </c>
      <c r="I55" s="25" t="inlineStr">
        <is>
          <t>Queensland (QLD)</t>
        </is>
      </c>
      <c r="J55" s="28" t="n">
        <v>30364.0007483669</v>
      </c>
      <c r="K55" s="25" t="inlineStr">
        <is>
          <t>Suncorp Group Ltd. is a financial services company, which engages in the provision of banking, wealth, and insurance products and services. It operates through the following segments: Consumer Insurance, Commercial and Personal Injury, Suncorp New Zealand, and Corporate and Internal Reinsurance. The Consumer Insurance segment provides insurance products to customers in Australia including home and contents, motor, and boat. The Commercial and Personal Injury segment offers insurance products to customers in Australia including commercial motor, commercial property, marine, industrial special risks, public liability and professional indemnity, workers’ compensation and compulsory third party. The Suncorp New Zealand segment includes general and life insurance products to customers in New Zealand. The Corporate and Internal Reinsurance segment is involved in the business strategy activities and shared services. The company was founded in 1902 and is headquartered in Brisbane, Australia.</t>
        </is>
      </c>
      <c r="L55" s="25" t="inlineStr">
        <is>
          <t>Property and Casualty Insurance</t>
        </is>
      </c>
      <c r="M55" s="25" t="inlineStr">
        <is>
          <t>Insurance</t>
        </is>
      </c>
      <c r="N55" s="25" t="inlineStr">
        <is>
          <t>Insurance</t>
        </is>
      </c>
      <c r="O55" s="30" t="inlineStr">
        <is>
          <t>Personal Insurance</t>
        </is>
      </c>
      <c r="P55" s="28" t="inlineStr">
        <is>
          <t>-</t>
        </is>
      </c>
      <c r="Q55" s="28" t="inlineStr">
        <is>
          <t>-</t>
        </is>
      </c>
      <c r="R55" s="28" t="n">
        <v>1559.99999999999</v>
      </c>
      <c r="S55" s="28" t="inlineStr">
        <is>
          <t>-</t>
        </is>
      </c>
      <c r="T55" s="28" t="inlineStr">
        <is>
          <t>-</t>
        </is>
      </c>
      <c r="U55" s="28" t="n">
        <v>9.25925925925926</v>
      </c>
    </row>
    <row r="56" ht="15" customHeight="1">
      <c r="A56" s="25" t="inlineStr">
        <is>
          <t>IAG-AU</t>
        </is>
      </c>
      <c r="B56" s="25" t="inlineStr">
        <is>
          <t>Insurance Australia Group Ltd.</t>
        </is>
      </c>
      <c r="C56" s="25" t="inlineStr">
        <is>
          <t>Public</t>
        </is>
      </c>
      <c r="D56" s="25" t="inlineStr">
        <is>
          <t>Australia</t>
        </is>
      </c>
      <c r="E56" s="26" t="n">
        <v>1999</v>
      </c>
      <c r="F56" s="27" t="inlineStr">
        <is>
          <t>-</t>
        </is>
      </c>
      <c r="G56" s="28" t="n">
        <v>17708</v>
      </c>
      <c r="H56" s="25" t="inlineStr">
        <is>
          <t>Pacific</t>
        </is>
      </c>
      <c r="I56" s="25" t="inlineStr">
        <is>
          <t>New South Wales (NSW)</t>
        </is>
      </c>
      <c r="J56" s="28" t="n">
        <v>26309.0006484252</v>
      </c>
      <c r="K56" s="25" t="inlineStr">
        <is>
          <t>Insurance Australia Group Ltd. engages in underwriting of general insurance and related corporate services. It operates through the following business divisions: Retail Insurance Australia, Intermediated Insurance Australia, New Zealand, and Corporate and Other. The Retail Insurance Australia division provides personal lines, some commercial lines, and general insurance products sold to customers under the NRMA, SGIO, SGIC, the RACV in Victoria, as well as the CGU and Poncho brands. The Intermediated Insurance Australia division offers commercial lines, personal lines, and general insurance products sold to customers through intermediaries including brokers, authorized representatives, and distribution partners under the CGU and WFI brands. The New Zealand division deals with general insurance products underwritten in New Zealand. The Corporate and Other division represents other activities, including corporate services, capital management activity, shareholders’ funds investment activities, inward reinsurance from associates, investment in associates, and other businesses that offer products and services that are adjacent to IAG's insurance business. The company was founded in 1925 and is headquartered Sydney, Australia.</t>
        </is>
      </c>
      <c r="L56" s="25" t="inlineStr">
        <is>
          <t>Property and Casualty Insurance</t>
        </is>
      </c>
      <c r="M56" s="25" t="inlineStr">
        <is>
          <t>Insurance</t>
        </is>
      </c>
      <c r="N56" s="25" t="inlineStr">
        <is>
          <t>Insurance</t>
        </is>
      </c>
      <c r="O56" s="30" t="inlineStr">
        <is>
          <t>Personal Insurance</t>
        </is>
      </c>
      <c r="P56" s="28" t="inlineStr">
        <is>
          <t>-</t>
        </is>
      </c>
      <c r="Q56" s="28" t="inlineStr">
        <is>
          <t>-</t>
        </is>
      </c>
      <c r="R56" s="28" t="n">
        <v>1359</v>
      </c>
      <c r="S56" s="28" t="inlineStr">
        <is>
          <t>-</t>
        </is>
      </c>
      <c r="T56" s="28" t="inlineStr">
        <is>
          <t>-</t>
        </is>
      </c>
      <c r="U56" s="28" t="n">
        <v>7.67449740230404</v>
      </c>
    </row>
    <row r="57" ht="15" customHeight="1">
      <c r="A57" s="25" t="inlineStr">
        <is>
          <t>QBE-AU</t>
        </is>
      </c>
      <c r="B57" s="25" t="inlineStr">
        <is>
          <t>QBE Insurance Group Ltd.</t>
        </is>
      </c>
      <c r="C57" s="25" t="inlineStr">
        <is>
          <t>Public</t>
        </is>
      </c>
      <c r="D57" s="25" t="inlineStr">
        <is>
          <t>Australia</t>
        </is>
      </c>
      <c r="E57" s="26" t="n">
        <v>1886</v>
      </c>
      <c r="F57" s="27" t="n">
        <v>13479</v>
      </c>
      <c r="G57" s="28" t="n">
        <v>34596.7748325051</v>
      </c>
      <c r="H57" s="25" t="inlineStr">
        <is>
          <t>Pacific</t>
        </is>
      </c>
      <c r="I57" s="25" t="inlineStr">
        <is>
          <t>New South Wales (NSW)</t>
        </is>
      </c>
      <c r="J57" s="28" t="n">
        <v>72237.74305564399</v>
      </c>
      <c r="K57" s="25" t="inlineStr">
        <is>
          <t>QBE Insurance Group Ltd. engages in providing underwriting general insurance and reinsurance risks. It operates through the following geographical segments: North America, International, Australia Pacific, and Corporate and Other. The North America segment writes general insurance, re7insurance, and crop business in the United States. The International segment offers general insurance business in the United Kingdom, Europ, and Canada. The Australia Pacific segment underwrites general insurance risks throughout Australia, New Zealand, and the Pacific region. The Corporate and Other segment is involved in non-operating holding companies that do not form part pf the group’s insurance operations. The company was founded in October 1888 is headquartered in Sydney, Australia.</t>
        </is>
      </c>
      <c r="L57" s="25" t="inlineStr">
        <is>
          <t>Property and Casualty Insurance</t>
        </is>
      </c>
      <c r="M57" s="25" t="inlineStr">
        <is>
          <t>Insurance</t>
        </is>
      </c>
      <c r="N57" s="25" t="inlineStr">
        <is>
          <t>Insurance</t>
        </is>
      </c>
      <c r="O57" s="30" t="inlineStr">
        <is>
          <t>Commercial Insurance</t>
        </is>
      </c>
      <c r="P57" s="28" t="inlineStr">
        <is>
          <t>-</t>
        </is>
      </c>
      <c r="Q57" s="28" t="inlineStr">
        <is>
          <t>-</t>
        </is>
      </c>
      <c r="R57" s="28" t="n">
        <v>2697.0930073193</v>
      </c>
      <c r="S57" s="28" t="inlineStr">
        <is>
          <t>-</t>
        </is>
      </c>
      <c r="T57" s="28" t="inlineStr">
        <is>
          <t>-</t>
        </is>
      </c>
      <c r="U57" s="28" t="n">
        <v>7.79579316389131</v>
      </c>
    </row>
    <row r="58" ht="15" customHeight="1">
      <c r="A58" s="25" t="inlineStr">
        <is>
          <t>SGP-AU</t>
        </is>
      </c>
      <c r="B58" s="25" t="inlineStr">
        <is>
          <t>Stockland</t>
        </is>
      </c>
      <c r="C58" s="25" t="inlineStr">
        <is>
          <t>Public</t>
        </is>
      </c>
      <c r="D58" s="25" t="inlineStr">
        <is>
          <t>Australia</t>
        </is>
      </c>
      <c r="E58" s="26" t="n">
        <v>1952</v>
      </c>
      <c r="F58" s="27" t="n">
        <v>1674</v>
      </c>
      <c r="G58" s="28" t="n">
        <v>3131</v>
      </c>
      <c r="H58" s="25" t="inlineStr">
        <is>
          <t>Pacific</t>
        </is>
      </c>
      <c r="I58" s="25" t="inlineStr">
        <is>
          <t>New South Wales (NSW)</t>
        </is>
      </c>
      <c r="J58" s="28" t="n">
        <v>17743.0004373032</v>
      </c>
      <c r="K58" s="25" t="inlineStr">
        <is>
          <t>Stockland engages in the business of real estate. It operates through the following segments: Development, Investment Management, and Other. The Development segment develops assets including residential properties, commercial properties and mixed-use assets. The Investment Management segment invests in and manages commercial properties and residential investment properties, manages capital investments, and earns management income for services performed. The company was founded by Ervin Graf in 1952 and is headquartered in Sydney, Australia.</t>
        </is>
      </c>
      <c r="L58" s="25" t="inlineStr">
        <is>
          <t>Equity REITs</t>
        </is>
      </c>
      <c r="M58" s="25" t="inlineStr">
        <is>
          <t>Real Estate Investment Trusts (REITs)</t>
        </is>
      </c>
      <c r="N58" s="25" t="inlineStr">
        <is>
          <t>Real Estate</t>
        </is>
      </c>
      <c r="O58" s="30" t="inlineStr">
        <is>
          <t>Equity REITs</t>
        </is>
      </c>
      <c r="P58" s="28" t="n">
        <v>1216.99999999999</v>
      </c>
      <c r="Q58" s="28" t="n">
        <v>773.000008011171</v>
      </c>
      <c r="R58" s="28" t="n">
        <v>826</v>
      </c>
      <c r="S58" s="28" t="n">
        <v>24.6885978920473</v>
      </c>
      <c r="T58" s="28" t="n">
        <v>38.8693708080486</v>
      </c>
      <c r="U58" s="28" t="n">
        <v>26.3813478122006</v>
      </c>
    </row>
    <row r="59" ht="15" customHeight="1">
      <c r="A59" s="25" t="inlineStr">
        <is>
          <t>HVN-AU</t>
        </is>
      </c>
      <c r="B59" s="25" t="inlineStr">
        <is>
          <t>Harvey Norman Holdings Ltd.</t>
        </is>
      </c>
      <c r="C59" s="25" t="inlineStr">
        <is>
          <t>Public</t>
        </is>
      </c>
      <c r="D59" s="25" t="inlineStr">
        <is>
          <t>Australia</t>
        </is>
      </c>
      <c r="E59" s="26" t="n">
        <v>1987</v>
      </c>
      <c r="F59" s="27" t="n">
        <v>6600</v>
      </c>
      <c r="G59" s="28" t="n">
        <v>4121.467</v>
      </c>
      <c r="H59" s="25" t="inlineStr">
        <is>
          <t>Pacific</t>
        </is>
      </c>
      <c r="I59" s="25" t="inlineStr">
        <is>
          <t>New South Wales (NSW)</t>
        </is>
      </c>
      <c r="J59" s="28" t="n">
        <v>8373.227206370901</v>
      </c>
      <c r="K59" s="25" t="inlineStr">
        <is>
          <t>Harvey Norman Holdings Ltd. engages in the retail, franchise, property, and digital enterprise business. It operates through the following segments: Franchising Operations, Retail-New Zealand, Retail-Singapore and Malaysia, Retail-Slovenia and Croatia, Retail-Ireland and Northern Ireland, Other Non-Franchised Retail, Retail Property, Retail Property Under Construction, Property Developments for Resale, Equity Investments, and Other. The company was founded by Gerald Harvey and Ian John Norman in October 1982 and is headquartered in Sydney, Australia.</t>
        </is>
      </c>
      <c r="L59" s="25" t="inlineStr">
        <is>
          <t>Department Stores</t>
        </is>
      </c>
      <c r="M59" s="25" t="inlineStr">
        <is>
          <t>General Merchandise Retail</t>
        </is>
      </c>
      <c r="N59" s="25" t="inlineStr">
        <is>
          <t>Food and Staples Retail</t>
        </is>
      </c>
      <c r="O59" s="30" t="inlineStr">
        <is>
          <t>Asia/Pacific Department Stores</t>
        </is>
      </c>
      <c r="P59" s="28" t="n">
        <v>1917.85999999999</v>
      </c>
      <c r="Q59" s="28" t="n">
        <v>898.955006048979</v>
      </c>
      <c r="R59" s="28" t="n">
        <v>518.016</v>
      </c>
      <c r="S59" s="28" t="n">
        <v>21.8115297295842</v>
      </c>
      <c r="T59" s="28" t="n">
        <v>46.5334309361206</v>
      </c>
      <c r="U59" s="28" t="n">
        <v>12.5687285619417</v>
      </c>
    </row>
    <row r="60" ht="15" customHeight="1">
      <c r="A60" s="25" t="inlineStr">
        <is>
          <t>ALL-AU</t>
        </is>
      </c>
      <c r="B60" s="25" t="inlineStr">
        <is>
          <t>Aristocrat Leisure Ltd.</t>
        </is>
      </c>
      <c r="C60" s="25" t="inlineStr">
        <is>
          <t>Public</t>
        </is>
      </c>
      <c r="D60" s="25" t="inlineStr">
        <is>
          <t>Australia</t>
        </is>
      </c>
      <c r="E60" s="26" t="n">
        <v>1984</v>
      </c>
      <c r="F60" s="27" t="n">
        <v>8500</v>
      </c>
      <c r="G60" s="28" t="n">
        <v>6603.59999999999</v>
      </c>
      <c r="H60" s="25" t="inlineStr">
        <is>
          <t>Pacific</t>
        </is>
      </c>
      <c r="I60" s="25" t="inlineStr">
        <is>
          <t>New South Wales (NSW)</t>
        </is>
      </c>
      <c r="J60" s="28" t="n">
        <v>10303.4001765625</v>
      </c>
      <c r="K60" s="25" t="inlineStr">
        <is>
          <t>Aristocrat Leisure Ltd. is a global entertainment and gaming content creation company powered by technology. It offers offers a diverse range of products and services including electronic gaming machines, casino management systems, free-to-play mobile games and online real money games, that serve customers. The firm operates through the following segments: Aristocrat Gaming, Pixel United, and Aristocrat Interactive segments. The Aristocrat Gaming segment involves in the land-based gaming. The Aristocrat Interactive segment includes online real money gaming. The Pixel United segment includes mobile games. The company was founded in 1953 and is headquartered in Sydney, Australia.</t>
        </is>
      </c>
      <c r="L60" s="25" t="inlineStr">
        <is>
          <t>Arts, Entertainment and Recreation Providers</t>
        </is>
      </c>
      <c r="M60" s="25" t="inlineStr">
        <is>
          <t>Hospitality Services</t>
        </is>
      </c>
      <c r="N60" s="25" t="inlineStr">
        <is>
          <t>Hospitality Services</t>
        </is>
      </c>
      <c r="O60" s="30" t="inlineStr">
        <is>
          <t>Gaming Industries</t>
        </is>
      </c>
      <c r="P60" s="28" t="n">
        <v>3746.5</v>
      </c>
      <c r="Q60" s="28" t="n">
        <v>2426.50000595497</v>
      </c>
      <c r="R60" s="28" t="n">
        <v>1303.4</v>
      </c>
      <c r="S60" s="28" t="n">
        <v>36.7451087285723</v>
      </c>
      <c r="T60" s="28" t="n">
        <v>56.7342055848325</v>
      </c>
      <c r="U60" s="28" t="n">
        <v>19.7377188200376</v>
      </c>
    </row>
    <row r="61" ht="15" customHeight="1">
      <c r="A61" s="25" t="inlineStr">
        <is>
          <t>MGR-AU</t>
        </is>
      </c>
      <c r="B61" s="25" t="inlineStr">
        <is>
          <t>Mirvac Group</t>
        </is>
      </c>
      <c r="C61" s="25" t="inlineStr">
        <is>
          <t>Public</t>
        </is>
      </c>
      <c r="D61" s="25" t="inlineStr">
        <is>
          <t>Australia</t>
        </is>
      </c>
      <c r="E61" s="26" t="n">
        <v>1972</v>
      </c>
      <c r="F61" s="27" t="n">
        <v>1651</v>
      </c>
      <c r="G61" s="28" t="n">
        <v>2465.99999999999</v>
      </c>
      <c r="H61" s="25" t="inlineStr">
        <is>
          <t>Pacific</t>
        </is>
      </c>
      <c r="I61" s="25" t="inlineStr">
        <is>
          <t>New South Wales (NSW)</t>
        </is>
      </c>
      <c r="J61" s="28" t="n">
        <v>15290.0003768453</v>
      </c>
      <c r="K61" s="25" t="inlineStr">
        <is>
          <t>Mirvac Group engages in real estate investment, development, third party capital management, and property asset management. It operates through the following segments: Investment, Funds, and Development. The Investment segment focuses on directly owned assets, co-investment stakes in funds, and investments in joint ventures and associates alongside capital partners. The Funds segment includes both funds management and asset management operations. The Development segment deals with commercial and mixed-use, build to rent, and residential projects. The company was founded by Henry Pollack and Robert Hamilton in 1972 and is headquartered in Sydney, Australia.</t>
        </is>
      </c>
      <c r="L61" s="25" t="inlineStr">
        <is>
          <t>Equity REITs</t>
        </is>
      </c>
      <c r="M61" s="25" t="inlineStr">
        <is>
          <t>Real Estate Investment Trusts (REITs)</t>
        </is>
      </c>
      <c r="N61" s="25" t="inlineStr">
        <is>
          <t>Real Estate</t>
        </is>
      </c>
      <c r="O61" s="30" t="inlineStr">
        <is>
          <t>Equity REITs</t>
        </is>
      </c>
      <c r="P61" s="28" t="n">
        <v>639.999999999999</v>
      </c>
      <c r="Q61" s="28" t="n">
        <v>368.999992138681</v>
      </c>
      <c r="R61" s="28" t="n">
        <v>68</v>
      </c>
      <c r="S61" s="28" t="n">
        <v>14.963503649635</v>
      </c>
      <c r="T61" s="28" t="n">
        <v>25.9529602595296</v>
      </c>
      <c r="U61" s="28" t="n">
        <v>2.75750202757502</v>
      </c>
    </row>
    <row r="62" ht="15" customHeight="1">
      <c r="A62" s="25" t="inlineStr">
        <is>
          <t>ORI-AU</t>
        </is>
      </c>
      <c r="B62" s="25" t="inlineStr">
        <is>
          <t>Orica Ltd.</t>
        </is>
      </c>
      <c r="C62" s="25" t="inlineStr">
        <is>
          <t>Public</t>
        </is>
      </c>
      <c r="D62" s="25" t="inlineStr">
        <is>
          <t>Australia</t>
        </is>
      </c>
      <c r="E62" s="26" t="n">
        <v>1874</v>
      </c>
      <c r="F62" s="27" t="n">
        <v>14000</v>
      </c>
      <c r="G62" s="28" t="n">
        <v>7662.79999999999</v>
      </c>
      <c r="H62" s="25" t="inlineStr">
        <is>
          <t>Pacific</t>
        </is>
      </c>
      <c r="I62" s="25" t="inlineStr">
        <is>
          <t>Victoria (VIC)</t>
        </is>
      </c>
      <c r="J62" s="28" t="n">
        <v>9792.600167809271</v>
      </c>
      <c r="K62" s="25" t="inlineStr">
        <is>
          <t>Orica Ltd. engages in the provision of mining and infrastructure solutions. The firm is also involved in manufacturing and distribution of commercial explosives and blasting systems including technical services and solutions; mining and tunneling support systems to the mining and infrastructure markets; and various chemical products and services. It operates through the following segments: Australia, Pacific, and Asia (APA); North America; Latin America; Europe, Middle East, and Africa (EMEA); Digital Solutions; and Global Support. The company was founded in 1874 and is headquartered in Melbourne, Australia.</t>
        </is>
      </c>
      <c r="L62" s="25" t="inlineStr">
        <is>
          <t>Additives Manufacturing</t>
        </is>
      </c>
      <c r="M62" s="25" t="inlineStr">
        <is>
          <t>Specialty and Performance Chemicals</t>
        </is>
      </c>
      <c r="N62" s="25" t="inlineStr">
        <is>
          <t>Chemical, Plastic and Rubber Materials</t>
        </is>
      </c>
      <c r="O62" s="30" t="inlineStr">
        <is>
          <t>Manufacturing Additives Manufacturing</t>
        </is>
      </c>
      <c r="P62" s="28" t="n">
        <v>1340.4</v>
      </c>
      <c r="Q62" s="28" t="n">
        <v>1174.59999986464</v>
      </c>
      <c r="R62" s="28" t="n">
        <v>524.599999999999</v>
      </c>
      <c r="S62" s="28" t="n">
        <v>15.3286005115624</v>
      </c>
      <c r="T62" s="28" t="n">
        <v>17.4923004645821</v>
      </c>
      <c r="U62" s="28" t="n">
        <v>6.84606149188286</v>
      </c>
    </row>
    <row r="63" ht="15" customHeight="1">
      <c r="A63" s="25" t="inlineStr">
        <is>
          <t>FLT-AU</t>
        </is>
      </c>
      <c r="B63" s="25" t="inlineStr">
        <is>
          <t>Flight Centre Travel Group Ltd.</t>
        </is>
      </c>
      <c r="C63" s="25" t="inlineStr">
        <is>
          <t>Public</t>
        </is>
      </c>
      <c r="D63" s="25" t="inlineStr">
        <is>
          <t>Australia</t>
        </is>
      </c>
      <c r="E63" s="26" t="n">
        <v>1987</v>
      </c>
      <c r="F63" s="27" t="n">
        <v>12411</v>
      </c>
      <c r="G63" s="28" t="n">
        <v>2783.94399999999</v>
      </c>
      <c r="H63" s="25" t="inlineStr">
        <is>
          <t>Pacific</t>
        </is>
      </c>
      <c r="I63" s="25" t="inlineStr">
        <is>
          <t>Queensland (QLD)</t>
        </is>
      </c>
      <c r="J63" s="28" t="n">
        <v>4222.67110407413</v>
      </c>
      <c r="K63" s="25" t="inlineStr">
        <is>
          <t>Flight Centre Travel Group Ltd. is engaged in providing travel retailing, wholesaling and corporate travel management services. It also engages in in-destination travel experience businesses including tour operators, hotel management, destination management companies and wholesaling. The company was founded by William James, Chris Greive, Graham Francis Turner and Geoff L. Harris in 1982 and is headquartered in South Brisbane, Australia.</t>
        </is>
      </c>
      <c r="L63" s="25" t="inlineStr">
        <is>
          <t>Travel Arrangement and Reservation Services</t>
        </is>
      </c>
      <c r="M63" s="25" t="inlineStr">
        <is>
          <t>Hospitality Services</t>
        </is>
      </c>
      <c r="N63" s="25" t="inlineStr">
        <is>
          <t>Hospitality Services</t>
        </is>
      </c>
      <c r="O63" s="30" t="inlineStr">
        <is>
          <t>Travel Agencies</t>
        </is>
      </c>
      <c r="P63" s="28" t="n">
        <v>1059.20499999999</v>
      </c>
      <c r="Q63" s="28" t="n">
        <v>365.586999190299</v>
      </c>
      <c r="R63" s="28" t="n">
        <v>109.489</v>
      </c>
      <c r="S63" s="28" t="n">
        <v>13.1319811030682</v>
      </c>
      <c r="T63" s="28" t="n">
        <v>38.0469219208432</v>
      </c>
      <c r="U63" s="28" t="n">
        <v>3.93287364975732</v>
      </c>
    </row>
    <row r="64" ht="15" customHeight="1">
      <c r="A64" s="25" t="inlineStr">
        <is>
          <t>TCL-AU</t>
        </is>
      </c>
      <c r="B64" s="25" t="inlineStr">
        <is>
          <t>Transurban Group Ltd.</t>
        </is>
      </c>
      <c r="C64" s="25" t="inlineStr">
        <is>
          <t>Public</t>
        </is>
      </c>
      <c r="D64" s="25" t="inlineStr">
        <is>
          <t>Australia</t>
        </is>
      </c>
      <c r="E64" s="26" t="n">
        <v>1996</v>
      </c>
      <c r="F64" s="27" t="n">
        <v>8200</v>
      </c>
      <c r="G64" s="28" t="n">
        <v>3942</v>
      </c>
      <c r="H64" s="25" t="inlineStr">
        <is>
          <t>Pacific</t>
        </is>
      </c>
      <c r="I64" s="25" t="inlineStr">
        <is>
          <t>Victoria (VIC)</t>
        </is>
      </c>
      <c r="J64" s="28" t="n">
        <v>36851.0009082489</v>
      </c>
      <c r="K64" s="25" t="inlineStr">
        <is>
          <t>Transurban Group Ltd. engages in the development, operation, and maintenance of toll roads. It operates through the following geographical segments: Melbourne, Sydney, Brisbane, North America, and Corporate and Other. The company was founded in 1996 and is headquartered in Docklands, Australia.</t>
        </is>
      </c>
      <c r="L64" s="25" t="inlineStr">
        <is>
          <t>Road and Rail Transportation Operators</t>
        </is>
      </c>
      <c r="M64" s="25" t="inlineStr">
        <is>
          <t>Cargo Transportation and Infrastructure Services</t>
        </is>
      </c>
      <c r="N64" s="25" t="inlineStr">
        <is>
          <t>Industrial Services</t>
        </is>
      </c>
      <c r="O64" s="30" t="inlineStr">
        <is>
          <t>Road Transportation</t>
        </is>
      </c>
      <c r="P64" s="28" t="n">
        <v>1227</v>
      </c>
      <c r="Q64" s="28" t="n">
        <v>2161.00000292014</v>
      </c>
      <c r="R64" s="28" t="n">
        <v>133</v>
      </c>
      <c r="S64" s="28" t="n">
        <v>54.8198883815322</v>
      </c>
      <c r="T64" s="28" t="n">
        <v>31.1263318112633</v>
      </c>
      <c r="U64" s="28" t="n">
        <v>3.37392186707255</v>
      </c>
    </row>
    <row r="65" ht="15" customHeight="1">
      <c r="A65" s="25" t="inlineStr">
        <is>
          <t>COH-AU</t>
        </is>
      </c>
      <c r="B65" s="25" t="inlineStr">
        <is>
          <t>Cochlear Ltd.</t>
        </is>
      </c>
      <c r="C65" s="25" t="inlineStr">
        <is>
          <t>Public</t>
        </is>
      </c>
      <c r="D65" s="25" t="inlineStr">
        <is>
          <t>Australia</t>
        </is>
      </c>
      <c r="E65" s="26" t="n">
        <v>1983</v>
      </c>
      <c r="F65" s="27" t="n">
        <v>5500</v>
      </c>
      <c r="G65" s="28" t="n">
        <v>2355.79999999999</v>
      </c>
      <c r="H65" s="25" t="inlineStr">
        <is>
          <t>Pacific</t>
        </is>
      </c>
      <c r="I65" s="25" t="inlineStr">
        <is>
          <t>New South Wales (NSW)</t>
        </is>
      </c>
      <c r="J65" s="28" t="n">
        <v>2825.00006962642</v>
      </c>
      <c r="K65" s="25" t="inlineStr">
        <is>
          <t>Cochlear Ltd. engages in the provision of implantable hearing solutions. The firm operates through the following geographical segments: Americas, EMEA, Asia Pacific, Corporate and Other. The company was founded by Michael S. Hirshorn in 1981 and is headquartered in Sydney, Australia.</t>
        </is>
      </c>
      <c r="L65" s="25" t="inlineStr">
        <is>
          <t>Specialized Medical Devices</t>
        </is>
      </c>
      <c r="M65" s="25" t="inlineStr">
        <is>
          <t>Other Medical Devices</t>
        </is>
      </c>
      <c r="N65" s="25" t="inlineStr">
        <is>
          <t>Healthcare Equipment</t>
        </is>
      </c>
      <c r="O65" s="30" t="inlineStr">
        <is>
          <t>Other Specialized Medical Devices</t>
        </is>
      </c>
      <c r="P65" s="28" t="n">
        <v>1740.59999999999</v>
      </c>
      <c r="Q65" s="28" t="n">
        <v>599.599998072174</v>
      </c>
      <c r="R65" s="28" t="n">
        <v>388.9</v>
      </c>
      <c r="S65" s="28" t="n">
        <v>25.4520757279905</v>
      </c>
      <c r="T65" s="28" t="n">
        <v>73.8857288394601</v>
      </c>
      <c r="U65" s="28" t="n">
        <v>16.5081925460565</v>
      </c>
    </row>
    <row r="66" ht="15" customHeight="1">
      <c r="A66" s="25" t="inlineStr">
        <is>
          <t>A1N-AU</t>
        </is>
      </c>
      <c r="B66" s="25" t="inlineStr">
        <is>
          <t>ARN Media Ltd.</t>
        </is>
      </c>
      <c r="C66" s="25" t="inlineStr">
        <is>
          <t>Public</t>
        </is>
      </c>
      <c r="D66" s="25" t="inlineStr">
        <is>
          <t>Australia</t>
        </is>
      </c>
      <c r="E66" s="26" t="n">
        <v>1988</v>
      </c>
      <c r="F66" s="27" t="inlineStr">
        <is>
          <t>-</t>
        </is>
      </c>
      <c r="G66" s="28" t="n">
        <v>365.647999999999</v>
      </c>
      <c r="H66" s="25" t="inlineStr">
        <is>
          <t>Pacific</t>
        </is>
      </c>
      <c r="I66" s="25" t="inlineStr">
        <is>
          <t>New South Wales (NSW)</t>
        </is>
      </c>
      <c r="J66" s="28" t="n">
        <v>907.040971865169</v>
      </c>
      <c r="K66" s="25" t="inlineStr">
        <is>
          <t>ARN Media Ltd. is a media and entertainment company. It operates through the following business segments: Australian Radio Network, HK outdoor and Digital Investments. The Australian Radio Network segment involves in Metropolitan radio networks. The HK Outdoor segment engages in billboard, transit and other outdoor advertising activities in Hong Kong. The Digital Investments segment includes interest on conversant media, emotive and equity accounted investments. The company was founded in 1988 and is headquartered in Macquarie Park, Australia.</t>
        </is>
      </c>
      <c r="L66" s="25" t="inlineStr">
        <is>
          <t>Broadcast Media Services</t>
        </is>
      </c>
      <c r="M66" s="25" t="inlineStr">
        <is>
          <t>Media and Publishing Services</t>
        </is>
      </c>
      <c r="N66" s="25" t="inlineStr">
        <is>
          <t>Media and Publishing Services</t>
        </is>
      </c>
      <c r="O66" s="30" t="inlineStr">
        <is>
          <t>Radio and Television Broadcasting</t>
        </is>
      </c>
      <c r="P66" s="28" t="n">
        <v>116.766</v>
      </c>
      <c r="Q66" s="28" t="n">
        <v>77.4650139052829</v>
      </c>
      <c r="R66" s="28" t="n">
        <v>3.85899999999999</v>
      </c>
      <c r="S66" s="28" t="n">
        <v>21.1856758412462</v>
      </c>
      <c r="T66" s="28" t="n">
        <v>31.9339911608979</v>
      </c>
      <c r="U66" s="28" t="n">
        <v>1.05538660132149</v>
      </c>
    </row>
    <row r="67" ht="15" customHeight="1">
      <c r="A67" s="25" t="inlineStr">
        <is>
          <t>SOL-AU</t>
        </is>
      </c>
      <c r="B67" s="25" t="inlineStr">
        <is>
          <t>Washington H. Soul Pattinson &amp; Co. Ltd.</t>
        </is>
      </c>
      <c r="C67" s="25" t="inlineStr">
        <is>
          <t>Public</t>
        </is>
      </c>
      <c r="D67" s="25" t="inlineStr">
        <is>
          <t>Australia</t>
        </is>
      </c>
      <c r="E67" s="26" t="n">
        <v>1903</v>
      </c>
      <c r="F67" s="27" t="n">
        <v>56</v>
      </c>
      <c r="G67" s="28" t="n">
        <v>615.4</v>
      </c>
      <c r="H67" s="25" t="inlineStr">
        <is>
          <t>Pacific</t>
        </is>
      </c>
      <c r="I67" s="25" t="inlineStr">
        <is>
          <t>New South Wales (NSW)</t>
        </is>
      </c>
      <c r="J67" s="28" t="n">
        <v>11181.40041514</v>
      </c>
      <c r="K67" s="25" t="inlineStr">
        <is>
          <t>Washington H. Soul Pattinson &amp; Co. Ltd. engages in the ownership of shares, coal mining, distribution and retail of pharmaceutical products, and manufacture of building products. It operates through the following segments: Strategic Portfolio, Large Caps Portfolio, Private Equity Portfolio, Credit Portfolio, Emerging Companies Portfolio, and Property Portfolio. The Strategic Portfolio segment focuses on significant investments in largely uncorrelated listed companies, generally with board representation. The Large Caps Portfolio segment is involved in listed equities generating consistent income and capital growth over the long term. The Private Equity Portfolio segment includes long-term investments in unlisted companies to support their future growth. The Credit Portfolio segment refers to the investments in different types of credit related financial instruments across an investee's capital structure aimed at optimizing the portfolio's risk adjusted returns. The Emerging Companies Portfolio segment represents the exposure to faster growing companies often benefitting from structural changes and trends in the domestic and global economy. The Property Portfolio segment managed Australian property investments as well as investments in property development joint ventures. The company was founded by Caleb Soul in 1872 and is headquartered in Sydney, Australia.</t>
        </is>
      </c>
      <c r="L67" s="25" t="inlineStr">
        <is>
          <t>Investment Holding Companies</t>
        </is>
      </c>
      <c r="M67" s="25" t="inlineStr">
        <is>
          <t>Investment Services</t>
        </is>
      </c>
      <c r="N67" s="25" t="inlineStr">
        <is>
          <t>Investment Services</t>
        </is>
      </c>
      <c r="O67" s="30" t="inlineStr">
        <is>
          <t>Investment Company</t>
        </is>
      </c>
      <c r="P67" s="28" t="n">
        <v>159.3</v>
      </c>
      <c r="Q67" s="28" t="n">
        <v>-96.799998647718</v>
      </c>
      <c r="R67" s="28" t="n">
        <v>364.199999999999</v>
      </c>
      <c r="S67" s="28" t="n">
        <v>-15.729606759831</v>
      </c>
      <c r="T67" s="28" t="n">
        <v>25.8856028599285</v>
      </c>
      <c r="U67" s="28" t="n">
        <v>59.1810204744881</v>
      </c>
    </row>
    <row r="68" ht="15" customHeight="1">
      <c r="A68" s="25" t="inlineStr">
        <is>
          <t>ASX-AU</t>
        </is>
      </c>
      <c r="B68" s="25" t="inlineStr">
        <is>
          <t>ASX Ltd.</t>
        </is>
      </c>
      <c r="C68" s="25" t="inlineStr">
        <is>
          <t>Public</t>
        </is>
      </c>
      <c r="D68" s="25" t="inlineStr">
        <is>
          <t>Australia</t>
        </is>
      </c>
      <c r="E68" s="26" t="n">
        <v>2009</v>
      </c>
      <c r="F68" s="27" t="n">
        <v>1331</v>
      </c>
      <c r="G68" s="28" t="n">
        <v>1712.09999999999</v>
      </c>
      <c r="H68" s="25" t="inlineStr">
        <is>
          <t>Pacific</t>
        </is>
      </c>
      <c r="I68" s="25" t="inlineStr">
        <is>
          <t>New South Wales (NSW)</t>
        </is>
      </c>
      <c r="J68" s="28" t="n">
        <v>17569.4004330246</v>
      </c>
      <c r="K68" s="25" t="inlineStr">
        <is>
          <t>ASX Ltd. engages in operating a securities exchange. Its products and services include listing and issuer services, trading venue; clearing and settlement activities, exchange-traded and over-the-counter products, and information and technical services. The company was founded in April 1987 and is headquartered in Sydney, Australia.</t>
        </is>
      </c>
      <c r="L68" s="25" t="inlineStr">
        <is>
          <t>Securities Sales and Trading Services</t>
        </is>
      </c>
      <c r="M68" s="25" t="inlineStr">
        <is>
          <t>Investment Services</t>
        </is>
      </c>
      <c r="N68" s="25" t="inlineStr">
        <is>
          <t>Investment Services</t>
        </is>
      </c>
      <c r="O68" s="30" t="inlineStr">
        <is>
          <t>Other Securities Sales and Trading Services</t>
        </is>
      </c>
      <c r="P68" s="28" t="n">
        <v>1662.8</v>
      </c>
      <c r="Q68" s="28" t="n">
        <v>1278.59999528131</v>
      </c>
      <c r="R68" s="28" t="n">
        <v>502.599999999999</v>
      </c>
      <c r="S68" s="28" t="n">
        <v>74.68021727702821</v>
      </c>
      <c r="T68" s="28" t="n">
        <v>97.1204952981718</v>
      </c>
      <c r="U68" s="28" t="n">
        <v>29.3557619297938</v>
      </c>
    </row>
    <row r="69" ht="15" customHeight="1">
      <c r="A69" s="25" t="inlineStr">
        <is>
          <t>SHL-AU</t>
        </is>
      </c>
      <c r="B69" s="25" t="inlineStr">
        <is>
          <t>Sonic Healthcare Ltd.</t>
        </is>
      </c>
      <c r="C69" s="25" t="inlineStr">
        <is>
          <t>Public</t>
        </is>
      </c>
      <c r="D69" s="25" t="inlineStr">
        <is>
          <t>Australia</t>
        </is>
      </c>
      <c r="E69" s="26" t="n">
        <v>1934</v>
      </c>
      <c r="F69" s="27" t="n">
        <v>43000</v>
      </c>
      <c r="G69" s="28" t="n">
        <v>9489.533999999991</v>
      </c>
      <c r="H69" s="25" t="inlineStr">
        <is>
          <t>Pacific</t>
        </is>
      </c>
      <c r="I69" s="25" t="inlineStr">
        <is>
          <t>New South Wales (NSW)</t>
        </is>
      </c>
      <c r="J69" s="28" t="n">
        <v>16651.1794103936</v>
      </c>
      <c r="K69" s="25" t="inlineStr">
        <is>
          <t>Sonic Healthcare Ltd. engages in the provision of medical diagnostics services. It operates through the following segments: Laboratory, Radiology, and Other. The Laboratory segment offers pathology and clinical services. The Radiology segment is involved in diagnostic imaging services in Australia. The Other segment refers to the corporate office function, medical center operations and occupation health services, and other minor operations. The company was founded on September 25, 1934, and is headquartered in Sydney, Australia.</t>
        </is>
      </c>
      <c r="L69" s="25" t="inlineStr">
        <is>
          <t>Ambulatory and Outpatient Diagnostic Patient Care</t>
        </is>
      </c>
      <c r="M69" s="25" t="inlineStr">
        <is>
          <t>Patient Care</t>
        </is>
      </c>
      <c r="N69" s="25" t="inlineStr">
        <is>
          <t>Healthcare Services</t>
        </is>
      </c>
      <c r="O69" s="30" t="inlineStr">
        <is>
          <t>Clinical Laboratory Patient Diagnostics</t>
        </is>
      </c>
      <c r="P69" s="28" t="n">
        <v>2417.039</v>
      </c>
      <c r="Q69" s="28" t="n">
        <v>1595.89500333538</v>
      </c>
      <c r="R69" s="28" t="n">
        <v>513.597</v>
      </c>
      <c r="S69" s="28" t="n">
        <v>16.8174222253695</v>
      </c>
      <c r="T69" s="28" t="n">
        <v>25.4705763212398</v>
      </c>
      <c r="U69" s="28" t="n">
        <v>5.41224679736645</v>
      </c>
    </row>
    <row r="70" ht="15" customHeight="1">
      <c r="A70" s="25" t="inlineStr">
        <is>
          <t>ILU-AU</t>
        </is>
      </c>
      <c r="B70" s="25" t="inlineStr">
        <is>
          <t>Iluka Resources Ltd.</t>
        </is>
      </c>
      <c r="C70" s="25" t="inlineStr">
        <is>
          <t>Public</t>
        </is>
      </c>
      <c r="D70" s="25" t="inlineStr">
        <is>
          <t>Australia</t>
        </is>
      </c>
      <c r="E70" s="26" t="n">
        <v>1954</v>
      </c>
      <c r="F70" s="27" t="n">
        <v>971</v>
      </c>
      <c r="G70" s="28" t="n">
        <v>1170.29999999999</v>
      </c>
      <c r="H70" s="25" t="inlineStr">
        <is>
          <t>Pacific</t>
        </is>
      </c>
      <c r="I70" s="25" t="inlineStr">
        <is>
          <t>Western Australia (WA)</t>
        </is>
      </c>
      <c r="J70" s="28" t="n">
        <v>3925.19987824714</v>
      </c>
      <c r="K70" s="25" t="inlineStr">
        <is>
          <t>Iluka Resources Ltd. engages in the exploration, development, mining, processing, marketing, and rehabilitation of mineral sands products. It operates through the following segments: Jacinth-Ambrosia/Mid West (JA/MW), Cataby/South West (C/SW), Rare Earths (RE), and United States/Murray Basin (US/MB). The JA/MW segment deals with mining operations at Jacinth-Ambrosia located in South Australia, and associated processing operations at the Narngulu mineral separation plant in mid-west Western Australia. The C/SW segment represents mining activities at Cataby and processing of ilmenite at Synthetic Rutile Kilns 1 and 2, located in Western Australia. The RE segment refers to the Eneabba Rare Earths Refinery, which is currently being constructed in Western Australia and associated feasibility studies alongside Phase 1 and 2 of the Eneabba development, and the Group's investment in Northern Minerals Limited. The US/MB segment focuses on rehabilitation obligations in Florida and Virginia, and certain idle assets located in Australia. The company was founded on July 24, 1954 and is headquartered in Perth, Australia.</t>
        </is>
      </c>
      <c r="L70" s="25" t="inlineStr">
        <is>
          <t>Base Metal Mining</t>
        </is>
      </c>
      <c r="M70" s="25" t="inlineStr">
        <is>
          <t>Metal Ore Mining</t>
        </is>
      </c>
      <c r="N70" s="25" t="inlineStr">
        <is>
          <t>Mining and Mineral Products</t>
        </is>
      </c>
      <c r="O70" s="30" t="inlineStr">
        <is>
          <t>Non-Ferrous Metal Ore Mining</t>
        </is>
      </c>
      <c r="P70" s="28" t="n">
        <v>478.299999999999</v>
      </c>
      <c r="Q70" s="28" t="n">
        <v>504.699995041939</v>
      </c>
      <c r="R70" s="28" t="n">
        <v>231.3</v>
      </c>
      <c r="S70" s="28" t="n">
        <v>43.1256942664274</v>
      </c>
      <c r="T70" s="28" t="n">
        <v>40.8698624284372</v>
      </c>
      <c r="U70" s="28" t="n">
        <v>19.7641630351192</v>
      </c>
    </row>
    <row r="71" ht="15" customHeight="1">
      <c r="A71" s="25" t="inlineStr">
        <is>
          <t>DNL-AU</t>
        </is>
      </c>
      <c r="B71" s="25" t="inlineStr">
        <is>
          <t>Dyno Nobel Ltd.</t>
        </is>
      </c>
      <c r="C71" s="25" t="inlineStr">
        <is>
          <t>Public</t>
        </is>
      </c>
      <c r="D71" s="25" t="inlineStr">
        <is>
          <t>Australia</t>
        </is>
      </c>
      <c r="E71" s="26" t="n">
        <v>1919</v>
      </c>
      <c r="F71" s="27" t="n">
        <v>5500</v>
      </c>
      <c r="G71" s="28" t="n">
        <v>3710.1</v>
      </c>
      <c r="H71" s="25" t="inlineStr">
        <is>
          <t>Pacific</t>
        </is>
      </c>
      <c r="I71" s="25" t="inlineStr">
        <is>
          <t>Victoria (VIC)</t>
        </is>
      </c>
      <c r="J71" s="28" t="n">
        <v>7829.90029798695</v>
      </c>
      <c r="K71" s="25" t="inlineStr">
        <is>
          <t>Dyno Nobel Ltd. engages in manufacturing and selling of explosives, fertilisers and industrial chemicals. The company operates through businesses: Asia Pacific, Americas, and Corporate. The Asia Pacific business operates through five segments: Incitec Pivot Fertilisers, Southern Cross International, Fertilisers Elimination, Dyno Nobel Asia Pacific and Asia Pacific Eliminations. The Incitec Pivot Fertilisers segment manufactures and distributes fertilisers in Eastern Australia. The Southern Cross International segment manufactures ammonium phosphates and distributes its manufactured fertilizer products to wholesalers in Australia. The Fertilisers Elimination segment represents the elimination of sales and profit in stock arising from the sale of SCI manufactured products. The Dyno Nobel Asia Pacific segment manufactures and sells industrial explosives and related products and services to the mining industry in the Asia Pacific region and Turkey. The Asia Pacific Eliminations segment represents elimination of sales and profit in stock arising from IPF and SCI sales to DNAP at an arm’s length transfer price. The America business operates through Dyno Nobel Americas segment, which manufactures and sells industrial explosives and related products and services to the mining, quarrying and construction industries in the Americas. The Corporate segment operates through Group Eliminations segment, which represents elimination of sales and profit in stock arising from intersegment sales at an arm's length transfer price. The company was founded in 2003 and is headquartered in Melbourne, Australia.</t>
        </is>
      </c>
      <c r="L71" s="25" t="inlineStr">
        <is>
          <t>Additives Manufacturing</t>
        </is>
      </c>
      <c r="M71" s="25" t="inlineStr">
        <is>
          <t>Specialty and Performance Chemicals</t>
        </is>
      </c>
      <c r="N71" s="25" t="inlineStr">
        <is>
          <t>Chemical, Plastic and Rubber Materials</t>
        </is>
      </c>
      <c r="O71" s="30" t="inlineStr">
        <is>
          <t>Manufacturing Additives Manufacturing</t>
        </is>
      </c>
      <c r="P71" s="28" t="n">
        <v>1021.8</v>
      </c>
      <c r="Q71" s="28" t="n">
        <v>768.000009416966</v>
      </c>
      <c r="R71" s="28" t="n">
        <v>147.199999999999</v>
      </c>
      <c r="S71" s="28" t="n">
        <v>20.7002506670979</v>
      </c>
      <c r="T71" s="28" t="n">
        <v>27.5410366297404</v>
      </c>
      <c r="U71" s="28" t="n">
        <v>3.9675480445271</v>
      </c>
    </row>
    <row r="72" ht="15" customHeight="1">
      <c r="A72" s="25" t="inlineStr">
        <is>
          <t>CPU-AU</t>
        </is>
      </c>
      <c r="B72" s="25" t="inlineStr">
        <is>
          <t>Computershare Ltd.</t>
        </is>
      </c>
      <c r="C72" s="25" t="inlineStr">
        <is>
          <t>Public</t>
        </is>
      </c>
      <c r="D72" s="25" t="inlineStr">
        <is>
          <t>Australia</t>
        </is>
      </c>
      <c r="E72" s="26" t="n">
        <v>1978</v>
      </c>
      <c r="F72" s="27" t="n">
        <v>12891</v>
      </c>
      <c r="G72" s="28" t="n">
        <v>4732.97610853894</v>
      </c>
      <c r="H72" s="25" t="inlineStr">
        <is>
          <t>Pacific</t>
        </is>
      </c>
      <c r="I72" s="25" t="inlineStr">
        <is>
          <t>Victoria (VIC)</t>
        </is>
      </c>
      <c r="J72" s="28" t="n">
        <v>8223.468578408931</v>
      </c>
      <c r="K72" s="25" t="inlineStr">
        <is>
          <t>Computershare Ltd. engages in the provision of investor services, plan services, communication services, business services, stakeholder relationship management services, and technology services. It operates through the following segments: Issuer Services, Global Corporate Trust, Employee Share Plans and Voucher Services, Mortgage Services and Property Rental Services, Communication Services and Utilities, Business Services, and Technology Services and Operations. The Issuer Services segment comprises register maintenance, corporate actions, stakeholder relationship management, corporate governance and related services. The Global Corporate Trust segment refers to the trust and agency services in connection with the administration of debt securities in the US. The Employee Share Plans and Voucher Services segment is involved in the administration and related services for employee share and option plans, together with Childcare Voucher administration in the UK. The Mortgage Services and Property Rental Services segment provides mortgage servicing and related activities, together with tenancy bond protection services in the UK. The Communication Services and Utilities segment focuses on the document composition and printing, intelligent mailing, inbound process automation, scanning, and electronic delivery. The Business Services segment offers bankruptcy, class actions, and corporate trust administration services. The Technology Services and Operations segment includes the provision of software in share registry and financial services. The company was founded by Christopher John Morris in 1978 and is headquartered in Melbourne, Australia.</t>
        </is>
      </c>
      <c r="L72" s="25" t="inlineStr">
        <is>
          <t>Consulting/Business Process Outsourcing Services</t>
        </is>
      </c>
      <c r="M72" s="25" t="inlineStr">
        <is>
          <t>Other Professional Services</t>
        </is>
      </c>
      <c r="N72" s="25" t="inlineStr">
        <is>
          <t>Business Services</t>
        </is>
      </c>
      <c r="O72" s="30" t="inlineStr">
        <is>
          <t>Other Consulting and Business Process Outsourcing</t>
        </is>
      </c>
      <c r="P72" s="28" t="n">
        <v>1752.76510632099</v>
      </c>
      <c r="Q72" s="28" t="n">
        <v>1837.358031754</v>
      </c>
      <c r="R72" s="28" t="n">
        <v>934.2388024954211</v>
      </c>
      <c r="S72" s="28" t="n">
        <v>38.8203529420982</v>
      </c>
      <c r="T72" s="28" t="n">
        <v>37.0330436098919</v>
      </c>
      <c r="U72" s="28" t="n">
        <v>19.7389291868583</v>
      </c>
    </row>
    <row r="73" ht="15" customHeight="1">
      <c r="A73" s="25" t="inlineStr">
        <is>
          <t>REH-AU</t>
        </is>
      </c>
      <c r="B73" s="25" t="inlineStr">
        <is>
          <t>Reece Ltd.</t>
        </is>
      </c>
      <c r="C73" s="25" t="inlineStr">
        <is>
          <t>Public</t>
        </is>
      </c>
      <c r="D73" s="25" t="inlineStr">
        <is>
          <t>Australia</t>
        </is>
      </c>
      <c r="E73" s="26" t="n">
        <v>1920</v>
      </c>
      <c r="F73" s="27" t="n">
        <v>9000</v>
      </c>
      <c r="G73" s="28" t="n">
        <v>8978.381999999991</v>
      </c>
      <c r="H73" s="25" t="inlineStr">
        <is>
          <t>Pacific</t>
        </is>
      </c>
      <c r="I73" s="25" t="inlineStr">
        <is>
          <t>Victoria (VIC)</t>
        </is>
      </c>
      <c r="J73" s="28" t="n">
        <v>7417.4531828144</v>
      </c>
      <c r="K73" s="25" t="inlineStr">
        <is>
          <t>Reece Ltd. engages in supplying plumbing, bathroom, heating, ventilation, air-conditioning, waterworks and refrigeration products to customers in the trade, retail and commercial markets. The firm operates through the Australia and New Zealand, and United States geographical segments. The company was founded in 1920 and is headquartered in Cremorne, Australia.</t>
        </is>
      </c>
      <c r="L73" s="25" t="inlineStr">
        <is>
          <t>Equipment and Supplies Distributors</t>
        </is>
      </c>
      <c r="M73" s="25" t="inlineStr">
        <is>
          <t>Diversified Industrials Distribution</t>
        </is>
      </c>
      <c r="N73" s="25" t="inlineStr">
        <is>
          <t>Industrial Services</t>
        </is>
      </c>
      <c r="O73" s="30" t="inlineStr">
        <is>
          <t>Hardware, Plumbing, Heating Supplies Distributors</t>
        </is>
      </c>
      <c r="P73" s="28" t="n">
        <v>2558.20699999999</v>
      </c>
      <c r="Q73" s="28" t="n">
        <v>897.5289933733879</v>
      </c>
      <c r="R73" s="28" t="n">
        <v>316.937</v>
      </c>
      <c r="S73" s="28" t="n">
        <v>9.996556172370481</v>
      </c>
      <c r="T73" s="28" t="n">
        <v>28.4929623177094</v>
      </c>
      <c r="U73" s="28" t="n">
        <v>3.53000128530954</v>
      </c>
    </row>
    <row r="74" ht="15" customHeight="1">
      <c r="A74" s="25" t="inlineStr">
        <is>
          <t>GWA-AU</t>
        </is>
      </c>
      <c r="B74" s="25" t="inlineStr">
        <is>
          <t>GWA Group Ltd.</t>
        </is>
      </c>
      <c r="C74" s="25" t="inlineStr">
        <is>
          <t>Public</t>
        </is>
      </c>
      <c r="D74" s="25" t="inlineStr">
        <is>
          <t>Australia</t>
        </is>
      </c>
      <c r="E74" s="26" t="n">
        <v>1992</v>
      </c>
      <c r="F74" s="27" t="inlineStr">
        <is>
          <t>-</t>
        </is>
      </c>
      <c r="G74" s="28" t="n">
        <v>418.475</v>
      </c>
      <c r="H74" s="25" t="inlineStr">
        <is>
          <t>Pacific</t>
        </is>
      </c>
      <c r="I74" s="25" t="inlineStr">
        <is>
          <t>New South Wales (NSW)</t>
        </is>
      </c>
      <c r="J74" s="28" t="n">
        <v>670.24801651928</v>
      </c>
      <c r="K74" s="25" t="inlineStr">
        <is>
          <t>GWA Group Ltd. engages in the the delivery of sustainable water solutions for bathrooms, kitchens, and laundries. It operates through the Australia, New Zealand, and Other geographical segments. The company was founded in 1989 and headquartered in Pinkenba, Australia.</t>
        </is>
      </c>
      <c r="L74" s="25" t="inlineStr">
        <is>
          <t>Small Appliances and Accessories Manufacturing</t>
        </is>
      </c>
      <c r="M74" s="25" t="inlineStr">
        <is>
          <t>Household Appliances and Tools</t>
        </is>
      </c>
      <c r="N74" s="25" t="inlineStr">
        <is>
          <t>Household Products</t>
        </is>
      </c>
      <c r="O74" s="30" t="inlineStr">
        <is>
          <t>Plumbing Fixtures and Trim Manufacturing</t>
        </is>
      </c>
      <c r="P74" s="28" t="n">
        <v>169.532999999999</v>
      </c>
      <c r="Q74" s="28" t="n">
        <v>91.4929967360622</v>
      </c>
      <c r="R74" s="28" t="n">
        <v>43.3779999999999</v>
      </c>
      <c r="S74" s="28" t="n">
        <v>21.863432702073</v>
      </c>
      <c r="T74" s="28" t="n">
        <v>40.5120974968636</v>
      </c>
      <c r="U74" s="28" t="n">
        <v>10.3657327199952</v>
      </c>
    </row>
    <row r="75" ht="15" customHeight="1">
      <c r="A75" s="25" t="inlineStr">
        <is>
          <t>NUF-AU</t>
        </is>
      </c>
      <c r="B75" s="25" t="inlineStr">
        <is>
          <t>Nufarm Ltd.</t>
        </is>
      </c>
      <c r="C75" s="25" t="inlineStr">
        <is>
          <t>Public</t>
        </is>
      </c>
      <c r="D75" s="25" t="inlineStr">
        <is>
          <t>Australia</t>
        </is>
      </c>
      <c r="E75" s="26" t="n">
        <v>2000</v>
      </c>
      <c r="F75" s="27" t="n">
        <v>3159</v>
      </c>
      <c r="G75" s="28" t="n">
        <v>3345.90899999999</v>
      </c>
      <c r="H75" s="25" t="inlineStr">
        <is>
          <t>Pacific</t>
        </is>
      </c>
      <c r="I75" s="25" t="inlineStr">
        <is>
          <t>Victoria (VIC)</t>
        </is>
      </c>
      <c r="J75" s="28" t="n">
        <v>4498.10707708106</v>
      </c>
      <c r="K75" s="25" t="inlineStr">
        <is>
          <t>Nufarm Ltd. engages in the provision of manufacture and sale of crop protection products. It operates through the Crop Protection and Seed Technologies segments. The Crop Protection segment deals with the manufacture and sale of crop protection products used by farmers to protect crops from damage caused by weeds, pests, and disease. The Seed Technologies segment sells seeds and treatment products. The company was founded by Maxwell A. Fremder on May 21, 1957 and is headquartered in Melbourne, Australia.</t>
        </is>
      </c>
      <c r="L75" s="25" t="inlineStr">
        <is>
          <t>Agrochemical Products</t>
        </is>
      </c>
      <c r="M75" s="25" t="inlineStr">
        <is>
          <t>Specialty and Performance Chemicals</t>
        </is>
      </c>
      <c r="N75" s="25" t="inlineStr">
        <is>
          <t>Chemical, Plastic and Rubber Materials</t>
        </is>
      </c>
      <c r="O75" s="30" t="inlineStr">
        <is>
          <t>General Agrochemicals Manufacturing</t>
        </is>
      </c>
      <c r="P75" s="28" t="n">
        <v>895.022</v>
      </c>
      <c r="Q75" s="28" t="n">
        <v>310.885000300316</v>
      </c>
      <c r="R75" s="28" t="n">
        <v>-5.598</v>
      </c>
      <c r="S75" s="28" t="n">
        <v>9.29149597314213</v>
      </c>
      <c r="T75" s="28" t="n">
        <v>26.7497412511817</v>
      </c>
      <c r="U75" s="28" t="n">
        <v>-0.167308794112452</v>
      </c>
    </row>
    <row r="76" ht="15" customHeight="1">
      <c r="A76" s="25" t="inlineStr">
        <is>
          <t>SGM-AU</t>
        </is>
      </c>
      <c r="B76" s="25" t="inlineStr">
        <is>
          <t>Sims Ltd.</t>
        </is>
      </c>
      <c r="C76" s="25" t="inlineStr">
        <is>
          <t>Public</t>
        </is>
      </c>
      <c r="D76" s="25" t="inlineStr">
        <is>
          <t>Australia</t>
        </is>
      </c>
      <c r="E76" s="26" t="n">
        <v>2005</v>
      </c>
      <c r="F76" s="27" t="n">
        <v>3916</v>
      </c>
      <c r="G76" s="28" t="n">
        <v>7494</v>
      </c>
      <c r="H76" s="25" t="inlineStr">
        <is>
          <t>Pacific</t>
        </is>
      </c>
      <c r="I76" s="25" t="inlineStr">
        <is>
          <t>New South Wales (NSW)</t>
        </is>
      </c>
      <c r="J76" s="28" t="n">
        <v>4446.10010958089</v>
      </c>
      <c r="K76" s="25" t="inlineStr">
        <is>
          <t>Sims Ltd. engages in the recycling of metal and electronics. It operates through the following segments: North America Metals (NAM), Australia, New Zealand Metals (ANZ), UK Metal (UK), Global Trading, Investment in SA Recycling (SAR), Sims Lifecycle Services (SLS), and Unallocated. The NAM segment consists of subsidiaries and joint ventures in the U.S. and Canada, which perform ferrous and non-ferrous secondary recycling functions. The ANZ segment includes subsidiaries and joint arrangements in Australia, New Zealand, and Papua New Guinea, which perform ferrous and non-ferrous secondary recycling functions. The UK segment consists of subsidiaries in the United Kingdom, which perform ferrous and non-ferrous secondary recycling functions. The Global Trading segment consists of the group’s ferrous and non-ferrous marketing subsidiaries that coordinate sales of ferrous bulk cargo shipments, non-ferrous sales into primarily China and Southeast Asia, and brokerage sales on behalf of third and related parties. The SAR segment consists of the group’s share of results from its investment in the SA Recycling joint venture. The SLS segment consists of subsidiaries, which provide electronic recycling solutions in the following countries: Australia, Germany, India, Ireland, Netherlands, New Zealand, Poland, Singapore, the United Kingdom, and the United States of America. The Unallocated segment contains unallocated corporate costs, interests in a joint venture in Australia, Sims Municipal Recycling, and Global Sustainability Insurance Corporation. The company was founded by Albert George Sims in 1917 and is headquartered in Mascot, Australia.</t>
        </is>
      </c>
      <c r="L76" s="25" t="inlineStr">
        <is>
          <t>Primary Metals Products</t>
        </is>
      </c>
      <c r="M76" s="25" t="inlineStr">
        <is>
          <t>Metal Products</t>
        </is>
      </c>
      <c r="N76" s="25" t="inlineStr">
        <is>
          <t>Mining and Mineral Products</t>
        </is>
      </c>
      <c r="O76" s="30" t="inlineStr">
        <is>
          <t>Metal Processing and Recycling Services</t>
        </is>
      </c>
      <c r="P76" s="28" t="n">
        <v>1127.5</v>
      </c>
      <c r="Q76" s="28" t="n">
        <v>312.300003100764</v>
      </c>
      <c r="R76" s="28" t="n">
        <v>2.39999999999999</v>
      </c>
      <c r="S76" s="28" t="n">
        <v>4.16733386709367</v>
      </c>
      <c r="T76" s="28" t="n">
        <v>15.0453696290366</v>
      </c>
      <c r="U76" s="28" t="n">
        <v>0.0320256204963971</v>
      </c>
    </row>
    <row r="77" ht="15" customHeight="1">
      <c r="A77" s="25" t="inlineStr">
        <is>
          <t>APA-AU</t>
        </is>
      </c>
      <c r="B77" s="25" t="inlineStr">
        <is>
          <t>APA Group</t>
        </is>
      </c>
      <c r="C77" s="25" t="inlineStr">
        <is>
          <t>Public</t>
        </is>
      </c>
      <c r="D77" s="25" t="inlineStr">
        <is>
          <t>Australia</t>
        </is>
      </c>
      <c r="E77" s="26" t="n">
        <v>2000</v>
      </c>
      <c r="F77" s="27" t="n">
        <v>2164</v>
      </c>
      <c r="G77" s="28" t="n">
        <v>3143.99999999999</v>
      </c>
      <c r="H77" s="25" t="inlineStr">
        <is>
          <t>Pacific</t>
        </is>
      </c>
      <c r="I77" s="25" t="inlineStr">
        <is>
          <t>New South Wales (NSW)</t>
        </is>
      </c>
      <c r="J77" s="28" t="n">
        <v>20514.0005055986</v>
      </c>
      <c r="K77" s="25" t="inlineStr">
        <is>
          <t>APA Group engages in the business of owning, managing, and operating diverse portfolios of gas, electricity, solar, and wind assets. It operates through the following segments: Energy Infrastructure, Asset Management, Energy Investments, and Other. The Energy Infrastructure segment includes infrastructure assets across gas transmission, compression, processing, storage and electricity generation, and transmission. The Asset Management segment provides asset management and operating services for third parties and the majority of energy investments. The Energy Investments segment focuses on energy infrastructure investments. The company was founded in June 2000 and is headquartered in Sydney, Australia.</t>
        </is>
      </c>
      <c r="L77" s="25" t="inlineStr">
        <is>
          <t>Natural Gas Pipeline and Storage Services</t>
        </is>
      </c>
      <c r="M77" s="25" t="inlineStr">
        <is>
          <t>Midstream Energy</t>
        </is>
      </c>
      <c r="N77" s="25" t="inlineStr">
        <is>
          <t>Downstream and Midstream Energy</t>
        </is>
      </c>
      <c r="O77" s="30" t="inlineStr">
        <is>
          <t>International Natural Gas Pipeline and Storage</t>
        </is>
      </c>
      <c r="P77" s="28" t="n">
        <v>1000</v>
      </c>
      <c r="Q77" s="28" t="n">
        <v>1990.0000016673</v>
      </c>
      <c r="R77" s="28" t="n">
        <v>98.9999999999999</v>
      </c>
      <c r="S77" s="28" t="n">
        <v>63.295165394402</v>
      </c>
      <c r="T77" s="28" t="n">
        <v>31.8066157760814</v>
      </c>
      <c r="U77" s="28" t="n">
        <v>3.14885496183206</v>
      </c>
    </row>
    <row r="78" ht="15" customHeight="1">
      <c r="A78" s="25" t="inlineStr">
        <is>
          <t>RHC-AU</t>
        </is>
      </c>
      <c r="B78" s="25" t="inlineStr">
        <is>
          <t>Ramsay Health Care Ltd.</t>
        </is>
      </c>
      <c r="C78" s="25" t="inlineStr">
        <is>
          <t>Public</t>
        </is>
      </c>
      <c r="D78" s="25" t="inlineStr">
        <is>
          <t>Australia</t>
        </is>
      </c>
      <c r="E78" s="26" t="n">
        <v>1975</v>
      </c>
      <c r="F78" s="27" t="n">
        <v>90000</v>
      </c>
      <c r="G78" s="28" t="n">
        <v>17801.6999999999</v>
      </c>
      <c r="H78" s="25" t="inlineStr">
        <is>
          <t>Pacific</t>
        </is>
      </c>
      <c r="I78" s="25" t="inlineStr">
        <is>
          <t>New South Wales (NSW)</t>
        </is>
      </c>
      <c r="J78" s="28" t="n">
        <v>22959.8005658791</v>
      </c>
      <c r="K78" s="25" t="inlineStr">
        <is>
          <t>Ramsay Health Care Ltd. engages in the healthcare services and the operation of hospitals and day surgery facilities. It operates through the following geographical segments : Asia Pacific, UK, France and Nordics. The company was founded by Paul Joseph Ramsay in 1964 and is headquartered in Sydney, Australia.</t>
        </is>
      </c>
      <c r="L78" s="25" t="inlineStr">
        <is>
          <t>Acute Care and Institutional Patient Care</t>
        </is>
      </c>
      <c r="M78" s="25" t="inlineStr">
        <is>
          <t>Patient Care</t>
        </is>
      </c>
      <c r="N78" s="25" t="inlineStr">
        <is>
          <t>Healthcare Services</t>
        </is>
      </c>
      <c r="O78" s="30" t="inlineStr">
        <is>
          <t>General and Acute Hospitals</t>
        </is>
      </c>
      <c r="P78" s="28" t="n">
        <v>1726.59999999999</v>
      </c>
      <c r="Q78" s="28" t="n">
        <v>2124.39999398342</v>
      </c>
      <c r="R78" s="28" t="n">
        <v>23.9999999999999</v>
      </c>
      <c r="S78" s="28" t="n">
        <v>11.9336917260711</v>
      </c>
      <c r="T78" s="28" t="n">
        <v>9.69907368397401</v>
      </c>
      <c r="U78" s="28" t="n">
        <v>0.134818584741907</v>
      </c>
    </row>
    <row r="79" ht="15" customHeight="1">
      <c r="A79" s="25" t="inlineStr">
        <is>
          <t>GNC-AU</t>
        </is>
      </c>
      <c r="B79" s="25" t="inlineStr">
        <is>
          <t>GrainCorp Ltd.</t>
        </is>
      </c>
      <c r="C79" s="25" t="inlineStr">
        <is>
          <t>Public</t>
        </is>
      </c>
      <c r="D79" s="25" t="inlineStr">
        <is>
          <t>Australia</t>
        </is>
      </c>
      <c r="E79" s="26" t="n">
        <v>1992</v>
      </c>
      <c r="F79" s="27" t="inlineStr">
        <is>
          <t>-</t>
        </is>
      </c>
      <c r="G79" s="28" t="n">
        <v>6490.49999999999</v>
      </c>
      <c r="H79" s="25" t="inlineStr">
        <is>
          <t>Pacific</t>
        </is>
      </c>
      <c r="I79" s="25" t="inlineStr">
        <is>
          <t>New South Wales (NSW)</t>
        </is>
      </c>
      <c r="J79" s="28" t="n">
        <v>2916.10004997126</v>
      </c>
      <c r="K79" s="25" t="inlineStr">
        <is>
          <t>GrainCorp Ltd. is a food ingredients and agribusiness company. The firm's activities include supply chain, origination and processing. It operates through the Agribusiness and Processing segments. The Agribusiness segment supplies grains and oils including wheat, coarse grains, oilseeds, pulses, organics, animal fats, used cooking oils, and vegetable oils for animal feed purposes. The Processing segment focuses in the crushing, processing, manufacturing, and distribution of edible oil. The company was founded in 1916 and is headquartered in Sydney, Australia.</t>
        </is>
      </c>
      <c r="L79" s="25" t="inlineStr">
        <is>
          <t>Agricultural Support Activity Providers</t>
        </is>
      </c>
      <c r="M79" s="25" t="inlineStr">
        <is>
          <t>Agriculture</t>
        </is>
      </c>
      <c r="N79" s="25" t="inlineStr">
        <is>
          <t>Food and Tobacco Production</t>
        </is>
      </c>
      <c r="O79" s="30" t="inlineStr">
        <is>
          <t>Other Agricultural Support Activity Providers</t>
        </is>
      </c>
      <c r="P79" s="28" t="n">
        <v>176.4</v>
      </c>
      <c r="Q79" s="28" t="n">
        <v>161.899989644616</v>
      </c>
      <c r="R79" s="28" t="n">
        <v>61.7999999999999</v>
      </c>
      <c r="S79" s="28" t="n">
        <v>2.49441491410523</v>
      </c>
      <c r="T79" s="28" t="n">
        <v>2.717818349896</v>
      </c>
      <c r="U79" s="28" t="n">
        <v>0.952160850473769</v>
      </c>
    </row>
    <row r="80" ht="15" customHeight="1">
      <c r="A80" s="25" t="inlineStr">
        <is>
          <t>BOQ-AU</t>
        </is>
      </c>
      <c r="B80" s="25" t="inlineStr">
        <is>
          <t>Bank of Queensland Ltd.</t>
        </is>
      </c>
      <c r="C80" s="25" t="inlineStr">
        <is>
          <t>Public</t>
        </is>
      </c>
      <c r="D80" s="25" t="inlineStr">
        <is>
          <t>Australia</t>
        </is>
      </c>
      <c r="E80" s="26" t="n">
        <v>1887</v>
      </c>
      <c r="F80" s="27" t="n">
        <v>3558</v>
      </c>
      <c r="G80" s="28" t="n">
        <v>5194</v>
      </c>
      <c r="H80" s="25" t="inlineStr">
        <is>
          <t>Pacific</t>
        </is>
      </c>
      <c r="I80" s="25" t="inlineStr">
        <is>
          <t>Queensland (QLD)</t>
        </is>
      </c>
      <c r="J80" s="28" t="n">
        <v>100525.999574581</v>
      </c>
      <c r="K80" s="25" t="inlineStr">
        <is>
          <t>Bank of Queensland Ltd. engages in the provision of financial services to the community. It operates through the following segments: Retail Banking, BOQ Business, and Other. The Retail Banking segment offers retail banking solutions to customers managed through its owner managed and corporate branch network, ME Bank and Virgin Money distribution channels, and third-party intermediaries. The BOQ Business segment is involved in the BOQ branded commercial lending activity, BOQ Finance, and BOQ Specialist businesses. It also provides tailored business banking solutions including commercial lending, equipment finance and leasing, cash flow finance, foreign exchange, interest rate hedging, transaction banking, and deposit solutions for commercial customers. The Other segment refers to the treasury, insurance, and group head office. The company was founded in 1874 and is headquartered in Newstead, Australia.</t>
        </is>
      </c>
      <c r="L80" s="25" t="inlineStr">
        <is>
          <t>Asia/Pacific Banks</t>
        </is>
      </c>
      <c r="M80" s="25" t="inlineStr">
        <is>
          <t>International Banks</t>
        </is>
      </c>
      <c r="N80" s="25" t="inlineStr">
        <is>
          <t>Banking</t>
        </is>
      </c>
      <c r="O80" s="30" t="inlineStr">
        <is>
          <t>Australia and New Zealand Banks</t>
        </is>
      </c>
      <c r="P80" s="28" t="inlineStr">
        <is>
          <t>-</t>
        </is>
      </c>
      <c r="Q80" s="28" t="inlineStr">
        <is>
          <t>-</t>
        </is>
      </c>
      <c r="R80" s="28" t="n">
        <v>132.999999999999</v>
      </c>
      <c r="S80" s="28" t="inlineStr">
        <is>
          <t>-</t>
        </is>
      </c>
      <c r="T80" s="28" t="inlineStr">
        <is>
          <t>-</t>
        </is>
      </c>
      <c r="U80" s="28" t="n">
        <v>2.56064690026954</v>
      </c>
    </row>
    <row r="81" ht="15" customHeight="1">
      <c r="A81" s="25" t="inlineStr">
        <is>
          <t>ALD-AU</t>
        </is>
      </c>
      <c r="B81" s="25" t="inlineStr">
        <is>
          <t>Ampol Ltd.</t>
        </is>
      </c>
      <c r="C81" s="25" t="inlineStr">
        <is>
          <t>Public</t>
        </is>
      </c>
      <c r="D81" s="25" t="inlineStr">
        <is>
          <t>Australia</t>
        </is>
      </c>
      <c r="E81" s="26" t="n">
        <v>1918</v>
      </c>
      <c r="F81" s="27" t="n">
        <v>9600</v>
      </c>
      <c r="G81" s="28" t="n">
        <v>34540.2</v>
      </c>
      <c r="H81" s="25" t="inlineStr">
        <is>
          <t>Pacific</t>
        </is>
      </c>
      <c r="I81" s="25" t="inlineStr">
        <is>
          <t>New South Wales (NSW)</t>
        </is>
      </c>
      <c r="J81" s="28" t="n">
        <v>13327.4995866041</v>
      </c>
      <c r="K81" s="25" t="inlineStr">
        <is>
          <t>Ampol Ltd. engages in the supply of transport fuels. It offers business services, fuel cards, lubricants and oil finder. The firm operates through the following segments: Fuels and Infrastructure, Convenience Retail, Z Energy, and Corporate. The Fuel and Infrastructure segment includes Lytton refining, bulk fuels sales, trading and shipping, infrastructure, future energy, and seaoil business. The Convenience Retail segment covers fuels and shop offerings at the company's Australian network of stores. The Z Energy deals with fuel offerings in New Zealand market. The Corporate segment represents the head office and transactions related to finance, taxation, treasury, HR, IT, legal. and secretarial functions. The company was founded in 1918 and is headquartered in Sydney, Australia.</t>
        </is>
      </c>
      <c r="L81" s="25" t="inlineStr">
        <is>
          <t>Petroleum Refineries</t>
        </is>
      </c>
      <c r="M81" s="25" t="inlineStr">
        <is>
          <t>Downstream Energy</t>
        </is>
      </c>
      <c r="N81" s="25" t="inlineStr">
        <is>
          <t>Downstream and Midstream Energy</t>
        </is>
      </c>
      <c r="O81" s="30" t="inlineStr">
        <is>
          <t>Asia/Pacific Petroleum Refineries</t>
        </is>
      </c>
      <c r="P81" s="28" t="n">
        <v>1911.29999999998</v>
      </c>
      <c r="Q81" s="28" t="n">
        <v>650.200006316108</v>
      </c>
      <c r="R81" s="28" t="n">
        <v>122.499999999999</v>
      </c>
      <c r="S81" s="28" t="n">
        <v>1.88244422441098</v>
      </c>
      <c r="T81" s="28" t="n">
        <v>5.53355220873069</v>
      </c>
      <c r="U81" s="28" t="n">
        <v>0.354659208690164</v>
      </c>
    </row>
    <row r="82" ht="15" customHeight="1">
      <c r="A82" s="25" t="inlineStr">
        <is>
          <t>BPT-AU</t>
        </is>
      </c>
      <c r="B82" s="25" t="inlineStr">
        <is>
          <t>Beach Energy Ltd.</t>
        </is>
      </c>
      <c r="C82" s="25" t="inlineStr">
        <is>
          <t>Public</t>
        </is>
      </c>
      <c r="D82" s="25" t="inlineStr">
        <is>
          <t>Australia</t>
        </is>
      </c>
      <c r="E82" s="26" t="n">
        <v>1961</v>
      </c>
      <c r="F82" s="27" t="n">
        <v>455</v>
      </c>
      <c r="G82" s="28" t="n">
        <v>2105.99999999999</v>
      </c>
      <c r="H82" s="25" t="inlineStr">
        <is>
          <t>Pacific</t>
        </is>
      </c>
      <c r="I82" s="25" t="inlineStr">
        <is>
          <t>South Australia (SA)</t>
        </is>
      </c>
      <c r="J82" s="28" t="n">
        <v>5281.70013017551</v>
      </c>
      <c r="K82" s="25" t="inlineStr">
        <is>
          <t>Beach Energy Ltd. engages in the exploration, development and production of hydrocarbons. It operates through following geographical segments: South Australia (SA), Western Australia (WA), Victoria, and New Zealand. The company was founded by Reg Sprigg in 1961 and is headquartered in Adelaide, Australia.</t>
        </is>
      </c>
      <c r="L82" s="25" t="inlineStr">
        <is>
          <t>Other Fossil Fuel Exploration and Production</t>
        </is>
      </c>
      <c r="M82" s="25" t="inlineStr">
        <is>
          <t>Fossil Fuel Exploration and Production</t>
        </is>
      </c>
      <c r="N82" s="25" t="inlineStr">
        <is>
          <t>Upstream Energy</t>
        </is>
      </c>
      <c r="O82" s="30" t="inlineStr">
        <is>
          <t>Asia/Pacific Fossil Fuel Exploration/Production</t>
        </is>
      </c>
      <c r="P82" s="28" t="n">
        <v>666.099999999999</v>
      </c>
      <c r="Q82" s="28" t="n">
        <v>1134.29999801659</v>
      </c>
      <c r="R82" s="28" t="n">
        <v>-43.7999999999999</v>
      </c>
      <c r="S82" s="28" t="n">
        <v>53.8603988603989</v>
      </c>
      <c r="T82" s="28" t="n">
        <v>31.6286799620133</v>
      </c>
      <c r="U82" s="28" t="n">
        <v>-2.07977207977208</v>
      </c>
    </row>
    <row r="83" ht="15" customHeight="1">
      <c r="A83" s="25" t="inlineStr">
        <is>
          <t>HLS-AU</t>
        </is>
      </c>
      <c r="B83" s="25" t="inlineStr">
        <is>
          <t>Healius Ltd.</t>
        </is>
      </c>
      <c r="C83" s="25" t="inlineStr">
        <is>
          <t>Public</t>
        </is>
      </c>
      <c r="D83" s="25" t="inlineStr">
        <is>
          <t>Australia</t>
        </is>
      </c>
      <c r="E83" s="26" t="n">
        <v>1994</v>
      </c>
      <c r="F83" s="27" t="n">
        <v>8000</v>
      </c>
      <c r="G83" s="28" t="n">
        <v>1344.19999999999</v>
      </c>
      <c r="H83" s="25" t="inlineStr">
        <is>
          <t>Pacific</t>
        </is>
      </c>
      <c r="I83" s="25" t="inlineStr">
        <is>
          <t>New South Wales (NSW)</t>
        </is>
      </c>
      <c r="J83" s="28" t="n">
        <v>1777.00004379686</v>
      </c>
      <c r="K83" s="25" t="inlineStr">
        <is>
          <t>Healius Ltd. engages in the provision of healthcare technology solutions. It operates through the following segments: Pathology, Imaging, and Other. The Pathology segment provides pathology services. The Imaging segment focuses on imaging services from stand-alone imaging sites, hospitals, and medical centers. The Other segment consists of corporate functions. The company was founded by Edmund Gregory Thomas Bateman in 1985 and is headquartered in St. Leonards, Australia.</t>
        </is>
      </c>
      <c r="L83" s="25" t="inlineStr">
        <is>
          <t>Ambulatory and Outpatient Diagnostic Patient Care</t>
        </is>
      </c>
      <c r="M83" s="25" t="inlineStr">
        <is>
          <t>Patient Care</t>
        </is>
      </c>
      <c r="N83" s="25" t="inlineStr">
        <is>
          <t>Healthcare Services</t>
        </is>
      </c>
      <c r="O83" s="30" t="inlineStr">
        <is>
          <t>Clinical Laboratory Patient Diagnostics</t>
        </is>
      </c>
      <c r="P83" s="28" t="n">
        <v>220.2</v>
      </c>
      <c r="Q83" s="28" t="n">
        <v>224.500004444039</v>
      </c>
      <c r="R83" s="28" t="n">
        <v>-562.999999999999</v>
      </c>
      <c r="S83" s="28" t="n">
        <v>16.7013837226603</v>
      </c>
      <c r="T83" s="28" t="n">
        <v>16.381490849576</v>
      </c>
      <c r="U83" s="28" t="n">
        <v>-41.883648266627</v>
      </c>
    </row>
    <row r="84" ht="15" customHeight="1">
      <c r="A84" s="25" t="inlineStr">
        <is>
          <t>CGF-AU</t>
        </is>
      </c>
      <c r="B84" s="25" t="inlineStr">
        <is>
          <t>Challenger Ltd.</t>
        </is>
      </c>
      <c r="C84" s="25" t="inlineStr">
        <is>
          <t>Public</t>
        </is>
      </c>
      <c r="D84" s="25" t="inlineStr">
        <is>
          <t>Australia</t>
        </is>
      </c>
      <c r="E84" s="26" t="n">
        <v>2003</v>
      </c>
      <c r="F84" s="27" t="n">
        <v>591</v>
      </c>
      <c r="G84" s="28" t="n">
        <v>3116.09999999999</v>
      </c>
      <c r="H84" s="25" t="inlineStr">
        <is>
          <t>Pacific</t>
        </is>
      </c>
      <c r="I84" s="25" t="inlineStr">
        <is>
          <t>New South Wales (NSW)</t>
        </is>
      </c>
      <c r="J84" s="28" t="n">
        <v>34997.3008625616</v>
      </c>
      <c r="K84" s="25" t="inlineStr">
        <is>
          <t>Challenger Ltd. operates as an investment management firm, which engages in the provision of financial services. It focuses on providing financial security in retirement. The company operates through the following two segments: Life and Funds Management. The Life segment provides annuity and guaranteed retirement income products Accurium Pty Limited, a provider of self managed superannuation fund actuarial certificates. The Funds Management segment focuses on the retirement savings phase of Australia’s superannuation system by providing products seeking to deliver superior investment returns. The company was founded in 1985 and is headquartered in Sydney, Australia.</t>
        </is>
      </c>
      <c r="L84" s="25" t="inlineStr">
        <is>
          <t>Life and Health Insurance</t>
        </is>
      </c>
      <c r="M84" s="25" t="inlineStr">
        <is>
          <t>Insurance</t>
        </is>
      </c>
      <c r="N84" s="25" t="inlineStr">
        <is>
          <t>Insurance</t>
        </is>
      </c>
      <c r="O84" s="30" t="inlineStr">
        <is>
          <t>Life and Health Insurance</t>
        </is>
      </c>
      <c r="P84" s="28" t="inlineStr">
        <is>
          <t>-</t>
        </is>
      </c>
      <c r="Q84" s="28" t="inlineStr">
        <is>
          <t>-</t>
        </is>
      </c>
      <c r="R84" s="28" t="n">
        <v>192.3</v>
      </c>
      <c r="S84" s="28" t="inlineStr">
        <is>
          <t>-</t>
        </is>
      </c>
      <c r="T84" s="28" t="inlineStr">
        <is>
          <t>-</t>
        </is>
      </c>
      <c r="U84" s="28" t="n">
        <v>6.17117550784635</v>
      </c>
    </row>
    <row r="85" ht="15" customHeight="1">
      <c r="A85" s="25" t="inlineStr">
        <is>
          <t>RIC-AU</t>
        </is>
      </c>
      <c r="B85" s="25" t="inlineStr">
        <is>
          <t>Ridley Corp. Ltd.</t>
        </is>
      </c>
      <c r="C85" s="25" t="inlineStr">
        <is>
          <t>Public</t>
        </is>
      </c>
      <c r="D85" s="25" t="inlineStr">
        <is>
          <t>Australia</t>
        </is>
      </c>
      <c r="E85" s="26" t="n">
        <v>1987</v>
      </c>
      <c r="F85" s="27" t="n">
        <v>613</v>
      </c>
      <c r="G85" s="28" t="n">
        <v>1302.62399999999</v>
      </c>
      <c r="H85" s="25" t="inlineStr">
        <is>
          <t>Pacific</t>
        </is>
      </c>
      <c r="I85" s="25" t="inlineStr">
        <is>
          <t>Victoria (VIC)</t>
        </is>
      </c>
      <c r="J85" s="28" t="n">
        <v>734.553018104175</v>
      </c>
      <c r="K85" s="25" t="inlineStr">
        <is>
          <t>Ridley Corp. Ltd. engages in the production and market of stock feed and animal feed supplements. It operates through the Packaged and Ingredients, and Bulk Stockfeeds segments. The Packaged and Ingredients segment refers to the group's premium quality, high performance animal nutrition ingredient solutions delivered in packaged. The Bulk Stockfeeds segment pertains to the group's premium quality, high performance animal nutrition ingredient solutions delivered in bulk. The company was founded in 1987 and is headquartered in Melbourne, Australia.</t>
        </is>
      </c>
      <c r="L85" s="25" t="inlineStr">
        <is>
          <t>Agricultural Support Activity Providers</t>
        </is>
      </c>
      <c r="M85" s="25" t="inlineStr">
        <is>
          <t>Agriculture</t>
        </is>
      </c>
      <c r="N85" s="25" t="inlineStr">
        <is>
          <t>Food and Tobacco Production</t>
        </is>
      </c>
      <c r="O85" s="30" t="inlineStr">
        <is>
          <t>Other Agricultural Support Activity Providers</t>
        </is>
      </c>
      <c r="P85" s="28" t="n">
        <v>121.197</v>
      </c>
      <c r="Q85" s="28" t="n">
        <v>92.1360017911186</v>
      </c>
      <c r="R85" s="28" t="n">
        <v>43.3219999999999</v>
      </c>
      <c r="S85" s="28" t="n">
        <v>7.07310781929398</v>
      </c>
      <c r="T85" s="28" t="n">
        <v>9.30406625396123</v>
      </c>
      <c r="U85" s="28" t="n">
        <v>3.32574864273958</v>
      </c>
    </row>
    <row r="86" ht="15" customHeight="1">
      <c r="A86" s="25" t="inlineStr">
        <is>
          <t>EVT-AU</t>
        </is>
      </c>
      <c r="B86" s="25" t="inlineStr">
        <is>
          <t>EVT Ltd.</t>
        </is>
      </c>
      <c r="C86" s="25" t="inlineStr">
        <is>
          <t>Public</t>
        </is>
      </c>
      <c r="D86" s="25" t="inlineStr">
        <is>
          <t>Australia</t>
        </is>
      </c>
      <c r="E86" s="26" t="n">
        <v>1911</v>
      </c>
      <c r="F86" s="27" t="inlineStr">
        <is>
          <t>-</t>
        </is>
      </c>
      <c r="G86" s="28" t="n">
        <v>1221.59199999999</v>
      </c>
      <c r="H86" s="25" t="inlineStr">
        <is>
          <t>Pacific</t>
        </is>
      </c>
      <c r="I86" s="25" t="inlineStr">
        <is>
          <t>New South Wales (NSW)</t>
        </is>
      </c>
      <c r="J86" s="28" t="n">
        <v>2900.84907149583</v>
      </c>
      <c r="K86" s="25" t="inlineStr">
        <is>
          <t>EVT Ltd. operates as a holding company, which engages in the provision of entertainment, hospitality, and tourism services. It operates through the following segments: Entertainment, Entertainment Germany, Hotels and Resorts, Thredbo Alpine Resort, and Property and Other Information. The Entertainment segment includes cinema exhibition operations in Australia and New Zealand, technology equipment supplies and servicing, and the State Theatre. The Entertainment Germany segment refers to the cinema exhibition operations in Germany. The Hotels and Resorts segment is involved in ownership, operation and management of hotels in Australia and New Zealand. The Thredbo Alpine Resort segment pertains to all the operations of the resort, including property development activities. The Property and Other Investments segment is associated with property rental, investment properties and investments designated as at FVOCI. The company was founded in 1910, and is headquartered in Sydney, Australia.</t>
        </is>
      </c>
      <c r="L86" s="25" t="inlineStr">
        <is>
          <t>Arts, Entertainment and Recreation Providers</t>
        </is>
      </c>
      <c r="M86" s="25" t="inlineStr">
        <is>
          <t>Hospitality Services</t>
        </is>
      </c>
      <c r="N86" s="25" t="inlineStr">
        <is>
          <t>Hospitality Services</t>
        </is>
      </c>
      <c r="O86" s="30" t="inlineStr">
        <is>
          <t>Amusement and Recreation Centers</t>
        </is>
      </c>
      <c r="P86" s="28" t="n">
        <v>366.266</v>
      </c>
      <c r="Q86" s="28" t="n">
        <v>267.787988587083</v>
      </c>
      <c r="R86" s="28" t="n">
        <v>33.394</v>
      </c>
      <c r="S86" s="28" t="n">
        <v>21.9212306563894</v>
      </c>
      <c r="T86" s="28" t="n">
        <v>29.98267834105</v>
      </c>
      <c r="U86" s="28" t="n">
        <v>2.73364593088363</v>
      </c>
    </row>
    <row r="87" ht="15" customHeight="1">
      <c r="A87" s="25" t="inlineStr">
        <is>
          <t>ERA-AU</t>
        </is>
      </c>
      <c r="B87" s="25" t="inlineStr">
        <is>
          <t>Energy Resources of Australia Ltd.</t>
        </is>
      </c>
      <c r="C87" s="25" t="inlineStr">
        <is>
          <t>Public</t>
        </is>
      </c>
      <c r="D87" s="25" t="inlineStr">
        <is>
          <t>Australia</t>
        </is>
      </c>
      <c r="E87" s="26" t="n">
        <v>1980</v>
      </c>
      <c r="F87" s="27" t="inlineStr">
        <is>
          <t>-</t>
        </is>
      </c>
      <c r="G87" s="28" t="n">
        <v>0</v>
      </c>
      <c r="H87" s="25" t="inlineStr">
        <is>
          <t>Pacific</t>
        </is>
      </c>
      <c r="I87" s="25" t="inlineStr">
        <is>
          <t>Northern Territory (NT)</t>
        </is>
      </c>
      <c r="J87" s="28" t="n">
        <v>1345.08095827793</v>
      </c>
      <c r="K87" s="25" t="inlineStr">
        <is>
          <t>Energy Resources of Australia Ltd. engages in the sale of uranium oxide and site rehabilitation. The company was founded on February 8, 1980, and is headquartered in Darwin, Australia.</t>
        </is>
      </c>
      <c r="L87" s="25" t="inlineStr">
        <is>
          <t>Uranium Mining</t>
        </is>
      </c>
      <c r="M87" s="25" t="inlineStr">
        <is>
          <t>Coal and Uranium Mining</t>
        </is>
      </c>
      <c r="N87" s="25" t="inlineStr">
        <is>
          <t>Upstream Energy</t>
        </is>
      </c>
      <c r="O87" s="30" t="inlineStr">
        <is>
          <t>Uranium Mining</t>
        </is>
      </c>
      <c r="P87" s="28" t="n">
        <v>-187.409</v>
      </c>
      <c r="Q87" s="28" t="n">
        <v>-13.3089941955935</v>
      </c>
      <c r="R87" s="28" t="n">
        <v>-245.974999999999</v>
      </c>
      <c r="S87" s="28" t="inlineStr">
        <is>
          <t>-</t>
        </is>
      </c>
      <c r="T87" s="28" t="inlineStr">
        <is>
          <t>-</t>
        </is>
      </c>
      <c r="U87" s="28" t="inlineStr">
        <is>
          <t>-</t>
        </is>
      </c>
    </row>
    <row r="88" ht="15" customHeight="1">
      <c r="A88" s="25" t="inlineStr">
        <is>
          <t>ASB-AU</t>
        </is>
      </c>
      <c r="B88" s="25" t="inlineStr">
        <is>
          <t>Austal Ltd.</t>
        </is>
      </c>
      <c r="C88" s="25" t="inlineStr">
        <is>
          <t>Public</t>
        </is>
      </c>
      <c r="D88" s="25" t="inlineStr">
        <is>
          <t>Australia</t>
        </is>
      </c>
      <c r="E88" s="26" t="n">
        <v>1987</v>
      </c>
      <c r="F88" s="27" t="n">
        <v>4400</v>
      </c>
      <c r="G88" s="28" t="n">
        <v>1823.33699999999</v>
      </c>
      <c r="H88" s="25" t="inlineStr">
        <is>
          <t>Pacific</t>
        </is>
      </c>
      <c r="I88" s="25" t="inlineStr">
        <is>
          <t>Western Australia (WA)</t>
        </is>
      </c>
      <c r="J88" s="28" t="n">
        <v>2945.29507259126</v>
      </c>
      <c r="K88" s="25" t="inlineStr">
        <is>
          <t>Austal Ltd. engages in the design and construction of customized aluminum commercial and defense vessels. It also operates through the following segments: USA Shipbuilding, USA Support, Australasia Shipbuilding, and Australasia Support. The USA Shipbuilding segment manufactures defense vessels for the US Navy and Coast Guard. The USA Support segment provides on-going support and maintenance of Austal and non-Austal vessels. The Australasia Shipbuilding segment includes Austal’s Australia, Philippines, and Vietnam shipbuilding operations. The Australasia Support segment refers to the Austal’s Australia, Oman, and Trinidad and Tobago operations. The company was founded by John Rothwell in 1988 and is headquartered in Henderson, Australia.</t>
        </is>
      </c>
      <c r="L88" s="25" t="inlineStr">
        <is>
          <t>Commercial Transportation Equipment Manufacturing</t>
        </is>
      </c>
      <c r="M88" s="25" t="inlineStr">
        <is>
          <t>Transportation Equipment Manufacturing</t>
        </is>
      </c>
      <c r="N88" s="25" t="inlineStr">
        <is>
          <t>Industrial Manufacturing</t>
        </is>
      </c>
      <c r="O88" s="30" t="inlineStr">
        <is>
          <t>Ship Builders and Ship Repair Service Providers</t>
        </is>
      </c>
      <c r="P88" s="28" t="n">
        <v>229.920999999999</v>
      </c>
      <c r="Q88" s="28" t="n">
        <v>153.314992061906</v>
      </c>
      <c r="R88" s="28" t="n">
        <v>89.733</v>
      </c>
      <c r="S88" s="28" t="n">
        <v>8.408484004876771</v>
      </c>
      <c r="T88" s="28" t="n">
        <v>12.6099015157373</v>
      </c>
      <c r="U88" s="28" t="n">
        <v>4.92136121846921</v>
      </c>
    </row>
    <row r="89" ht="15" customHeight="1">
      <c r="A89" s="25" t="inlineStr">
        <is>
          <t>ALQ-AU</t>
        </is>
      </c>
      <c r="B89" s="25" t="inlineStr">
        <is>
          <t>ALS Ltd.</t>
        </is>
      </c>
      <c r="C89" s="25" t="inlineStr">
        <is>
          <t>Public</t>
        </is>
      </c>
      <c r="D89" s="25" t="inlineStr">
        <is>
          <t>Australia</t>
        </is>
      </c>
      <c r="E89" s="26" t="n">
        <v>1910</v>
      </c>
      <c r="F89" s="27" t="n">
        <v>20515</v>
      </c>
      <c r="G89" s="28" t="n">
        <v>2999.39999999999</v>
      </c>
      <c r="H89" s="25" t="inlineStr">
        <is>
          <t>Pacific</t>
        </is>
      </c>
      <c r="I89" s="25" t="inlineStr">
        <is>
          <t>Queensland (QLD)</t>
        </is>
      </c>
      <c r="J89" s="28" t="n">
        <v>4114.30005892911</v>
      </c>
      <c r="K89" s="25" t="inlineStr">
        <is>
          <t>ALS Ltd. engages in the provision of analytical and testing services businesses and partnerships. It operates through the following segments: Life Sciences, Commodities, Industrial, and Other. The Life Sciences segment is involved in analytical testing data to assist consulting and engineering firms, industry, and governments in making informed decisions about environmental, food and pharmaceutical, electronics, consumer products, and animal health. The Commodities segment includes assaying and analytical testing and metallurgical services for mining and mineral exploration companies and provides specialist services to the coal industry such as coal sampling, analysis and certification, and formation evaluation services. The Industrial segment focuses on energy, resources, and infrastructure sectors with asset care and tribology testing services. The company was founded in 1863 and is headquartered in Brisbane, Australia.</t>
        </is>
      </c>
      <c r="L89" s="25" t="inlineStr">
        <is>
          <t>Consulting/Business Process Outsourcing Services</t>
        </is>
      </c>
      <c r="M89" s="25" t="inlineStr">
        <is>
          <t>Other Professional Services</t>
        </is>
      </c>
      <c r="N89" s="25" t="inlineStr">
        <is>
          <t>Business Services</t>
        </is>
      </c>
      <c r="O89" s="30" t="inlineStr">
        <is>
          <t>Other Consulting and Business Process Outsourcing</t>
        </is>
      </c>
      <c r="P89" s="28" t="n">
        <v>941.599999999999</v>
      </c>
      <c r="Q89" s="28" t="n">
        <v>704.200004058031</v>
      </c>
      <c r="R89" s="28" t="n">
        <v>256.199999999999</v>
      </c>
      <c r="S89" s="28" t="n">
        <v>23.4780289391212</v>
      </c>
      <c r="T89" s="28" t="n">
        <v>31.3929452557178</v>
      </c>
      <c r="U89" s="28" t="n">
        <v>8.541708341668331</v>
      </c>
    </row>
    <row r="90" ht="15" customHeight="1">
      <c r="A90" s="25" t="inlineStr">
        <is>
          <t>CAA-AU</t>
        </is>
      </c>
      <c r="B90" s="25" t="inlineStr">
        <is>
          <t>Capral Ltd.</t>
        </is>
      </c>
      <c r="C90" s="25" t="inlineStr">
        <is>
          <t>Public</t>
        </is>
      </c>
      <c r="D90" s="25" t="inlineStr">
        <is>
          <t>Australia</t>
        </is>
      </c>
      <c r="E90" s="26" t="n">
        <v>1936</v>
      </c>
      <c r="F90" s="27" t="inlineStr">
        <is>
          <t>-</t>
        </is>
      </c>
      <c r="G90" s="28" t="n">
        <v>604.398</v>
      </c>
      <c r="H90" s="25" t="inlineStr">
        <is>
          <t>Pacific</t>
        </is>
      </c>
      <c r="I90" s="25" t="inlineStr">
        <is>
          <t>Queensland (QLD)</t>
        </is>
      </c>
      <c r="J90" s="28" t="n">
        <v>472.415985346479</v>
      </c>
      <c r="K90" s="25" t="inlineStr">
        <is>
          <t>Capral Ltd. engages in the manufacturing, marketing, and distribution of fabricated and semi-fabricated aluminium related products. It operates through the following segments: Residential, Commercial, and Industrial. The Residential segment supplies aluminum and components for windows and doors, showers and wardrobes, and security products. The Commercial segment offers aluminum and other components for windows and doors, internal fit outs, and other commercial building related products. The Industrial segment consists of aluminum extrusions and rolled products for industrial uses. The company was founded in 1936 and is headquartered in Bundamba, Australia.</t>
        </is>
      </c>
      <c r="L90" s="25" t="inlineStr">
        <is>
          <t>Architectural and Infrastructure Component Makers</t>
        </is>
      </c>
      <c r="M90" s="25" t="inlineStr">
        <is>
          <t>Construction Materials</t>
        </is>
      </c>
      <c r="N90" s="25" t="inlineStr">
        <is>
          <t>Mining and Mineral Products</t>
        </is>
      </c>
      <c r="O90" s="30" t="inlineStr">
        <is>
          <t>Architectural Component Manufacturing</t>
        </is>
      </c>
      <c r="P90" s="28" t="n">
        <v>54.6409999999999</v>
      </c>
      <c r="Q90" s="28" t="n">
        <v>8.054013959464481</v>
      </c>
      <c r="R90" s="28" t="n">
        <v>32.487</v>
      </c>
      <c r="S90" s="28" t="n">
        <v>1.33256562728533</v>
      </c>
      <c r="T90" s="28" t="n">
        <v>9.040565984665729</v>
      </c>
      <c r="U90" s="28" t="n">
        <v>5.37510051323797</v>
      </c>
    </row>
    <row r="91" ht="15" customHeight="1">
      <c r="A91" s="25" t="inlineStr">
        <is>
          <t>SRV-AU</t>
        </is>
      </c>
      <c r="B91" s="25" t="inlineStr">
        <is>
          <t>Servcorp Ltd.</t>
        </is>
      </c>
      <c r="C91" s="25" t="inlineStr">
        <is>
          <t>Public</t>
        </is>
      </c>
      <c r="D91" s="25" t="inlineStr">
        <is>
          <t>Australia</t>
        </is>
      </c>
      <c r="E91" s="26" t="n">
        <v>1999</v>
      </c>
      <c r="F91" s="27" t="n">
        <v>703</v>
      </c>
      <c r="G91" s="28" t="n">
        <v>349.592999999999</v>
      </c>
      <c r="H91" s="25" t="inlineStr">
        <is>
          <t>Pacific</t>
        </is>
      </c>
      <c r="I91" s="25" t="inlineStr">
        <is>
          <t>New South Wales (NSW)</t>
        </is>
      </c>
      <c r="J91" s="28" t="n">
        <v>722.183017799297</v>
      </c>
      <c r="K91" s="25" t="inlineStr">
        <is>
          <t>Servcorp Ltd. engages in the provision of workspace solutions. It offers executive serviced and virtual offices, co-working and information technology services, communications services, and secretarial services. It operates through the following geographical segments: Australia, New Zealand, and Southeast Asia; North Asia; Europe and Middles East; United States of America; and Other. The company was founded by Alfred George Moufarrige in 1978 and is headquartered in Sydney, Australia.</t>
        </is>
      </c>
      <c r="L91" s="25" t="inlineStr">
        <is>
          <t>Administrative Services</t>
        </is>
      </c>
      <c r="M91" s="25" t="inlineStr">
        <is>
          <t>Other Professional Services</t>
        </is>
      </c>
      <c r="N91" s="25" t="inlineStr">
        <is>
          <t>Business Services</t>
        </is>
      </c>
      <c r="O91" s="30" t="inlineStr">
        <is>
          <t>Other Business Administrative Services</t>
        </is>
      </c>
      <c r="P91" s="28" t="n">
        <v>164.541</v>
      </c>
      <c r="Q91" s="28" t="n">
        <v>193.843997667441</v>
      </c>
      <c r="R91" s="28" t="n">
        <v>53.1199999999999</v>
      </c>
      <c r="S91" s="28" t="n">
        <v>55.4484786594697</v>
      </c>
      <c r="T91" s="28" t="n">
        <v>47.0664458384464</v>
      </c>
      <c r="U91" s="28" t="n">
        <v>15.1948122531058</v>
      </c>
    </row>
    <row r="92" ht="15" customHeight="1">
      <c r="A92" s="25" t="inlineStr">
        <is>
          <t>AOV-AU</t>
        </is>
      </c>
      <c r="B92" s="25" t="inlineStr">
        <is>
          <t>Amotiv Ltd.</t>
        </is>
      </c>
      <c r="C92" s="25" t="inlineStr">
        <is>
          <t>Public</t>
        </is>
      </c>
      <c r="D92" s="25" t="inlineStr">
        <is>
          <t>Australia</t>
        </is>
      </c>
      <c r="E92" s="26" t="n">
        <v>1958</v>
      </c>
      <c r="F92" s="27" t="inlineStr">
        <is>
          <t>-</t>
        </is>
      </c>
      <c r="G92" s="28" t="n">
        <v>997.399999999999</v>
      </c>
      <c r="H92" s="25" t="inlineStr">
        <is>
          <t>Pacific</t>
        </is>
      </c>
      <c r="I92" s="25" t="inlineStr">
        <is>
          <t>Victoria (VIC)</t>
        </is>
      </c>
      <c r="J92" s="28" t="n">
        <v>1663.00004098716</v>
      </c>
      <c r="K92" s="25" t="inlineStr">
        <is>
          <t>Amotiv Ltd. engages in the manufacture, distribution, and sale of automotive products, pumps, pool and spa systems, and water pressure systems. It operates through the following segments: Automotive, APG, and Davey. The Automotive segment provides automotive and heavy-duty filters for cars, trucks, agricultural and mining equipment, automotive electrical and lighting products, fuel pumps and associated products, and accessories for the automotive after-market. The APG segment focuses on manufacturing and marketing of towing, trailering, functional accessories and associated products for the automotive aftermarket and original equipment manufacturer customers. The Davey segment offers pumps and pressure systems for household and farm water, water transfer pumps, swimming pool products, spa bath controllers, pumps, and water purification equipment. The company was founded on April 18, 1958 and is headquartered in Melbourne, Australia.</t>
        </is>
      </c>
      <c r="L92" s="25" t="inlineStr">
        <is>
          <t>Consumer Vehicle Parts Manufacturing</t>
        </is>
      </c>
      <c r="M92" s="25" t="inlineStr">
        <is>
          <t>Consumer Vehicles and Parts</t>
        </is>
      </c>
      <c r="N92" s="25" t="inlineStr">
        <is>
          <t>Consumer Vehicles and Parts</t>
        </is>
      </c>
      <c r="O92" s="30" t="inlineStr">
        <is>
          <t>Consumer Vehicle Powertrain and Chassis Makers</t>
        </is>
      </c>
      <c r="P92" s="28" t="n">
        <v>412.099999999999</v>
      </c>
      <c r="Q92" s="28" t="n">
        <v>225.800004002075</v>
      </c>
      <c r="R92" s="28" t="n">
        <v>-106.299999999999</v>
      </c>
      <c r="S92" s="28" t="n">
        <v>22.6388610387006</v>
      </c>
      <c r="T92" s="28" t="n">
        <v>41.3174253057951</v>
      </c>
      <c r="U92" s="28" t="n">
        <v>-10.6577100461199</v>
      </c>
    </row>
    <row r="93" ht="15" customHeight="1">
      <c r="A93" s="25" t="inlineStr">
        <is>
          <t>PMV-AU</t>
        </is>
      </c>
      <c r="B93" s="25" t="inlineStr">
        <is>
          <t>Premier Investments Ltd.</t>
        </is>
      </c>
      <c r="C93" s="25" t="inlineStr">
        <is>
          <t>Public</t>
        </is>
      </c>
      <c r="D93" s="25" t="inlineStr">
        <is>
          <t>Australia</t>
        </is>
      </c>
      <c r="E93" s="26" t="n">
        <v>1987</v>
      </c>
      <c r="F93" s="27" t="inlineStr">
        <is>
          <t>-</t>
        </is>
      </c>
      <c r="G93" s="28" t="n">
        <v>827.841614442755</v>
      </c>
      <c r="H93" s="25" t="inlineStr">
        <is>
          <t>Pacific</t>
        </is>
      </c>
      <c r="I93" s="25" t="inlineStr">
        <is>
          <t>Victoria (VIC)</t>
        </is>
      </c>
      <c r="J93" s="28" t="n">
        <v>1407.57815935676</v>
      </c>
      <c r="K93" s="25" t="inlineStr">
        <is>
          <t>Premier Investments Ltd. operates as an investment company. It operates through the Retail and Investment segments. The Retail segment manages the financial performance of a number of specialty retail fashion chains. The Investment segment represents investment in properties; securities for both long and short term gains; rental income; dividend income; and interest. It offers its products through the Just Jeans, Jay Jays, Portmans, Jacqui E, Peter Alexander, Dotti, and Smiggle brands. The company was founded on March 26, 1987 and is headquartered in Melbourne, Australia.</t>
        </is>
      </c>
      <c r="L93" s="25" t="inlineStr">
        <is>
          <t>Apparel Retail</t>
        </is>
      </c>
      <c r="M93" s="25" t="inlineStr">
        <is>
          <t>Apparel and Accessories Retail</t>
        </is>
      </c>
      <c r="N93" s="25" t="inlineStr">
        <is>
          <t>Consumer Retail</t>
        </is>
      </c>
      <c r="O93" s="30" t="inlineStr">
        <is>
          <t>Other Apparel Retail</t>
        </is>
      </c>
      <c r="P93" s="28" t="n">
        <v>258.231045115557</v>
      </c>
      <c r="Q93" s="28" t="n">
        <v>242.305303774526</v>
      </c>
      <c r="R93" s="28" t="n">
        <v>143.980715940605</v>
      </c>
      <c r="S93" s="28" t="n">
        <v>29.2695242708712</v>
      </c>
      <c r="T93" s="28" t="n">
        <v>31.1932911574372</v>
      </c>
      <c r="U93" s="28" t="n">
        <v>17.3923022748166</v>
      </c>
    </row>
    <row r="94" ht="15" customHeight="1">
      <c r="A94" s="25" t="inlineStr">
        <is>
          <t>ARB-AU</t>
        </is>
      </c>
      <c r="B94" s="25" t="inlineStr">
        <is>
          <t>ARB Corp. Ltd.</t>
        </is>
      </c>
      <c r="C94" s="25" t="inlineStr">
        <is>
          <t>Public</t>
        </is>
      </c>
      <c r="D94" s="25" t="inlineStr">
        <is>
          <t>Australia</t>
        </is>
      </c>
      <c r="E94" s="26" t="n">
        <v>1987</v>
      </c>
      <c r="F94" s="27" t="inlineStr">
        <is>
          <t>-</t>
        </is>
      </c>
      <c r="G94" s="28" t="n">
        <v>729.949</v>
      </c>
      <c r="H94" s="25" t="inlineStr">
        <is>
          <t>Pacific</t>
        </is>
      </c>
      <c r="I94" s="25" t="inlineStr">
        <is>
          <t>Victoria (VIC)</t>
        </is>
      </c>
      <c r="J94" s="28" t="n">
        <v>904.77402229953</v>
      </c>
      <c r="K94" s="25" t="inlineStr">
        <is>
          <t>ARB Corp. Ltd. engages in the design, manufacture, distribution, and selling of motor vehicle accessories and light metal engineering work. It operates through the following geographical segments: Australia, USA, Thailand, and Middle East, Europe &amp; United Kingdom. The company was founded by Anthony Ronald Brown in 1975 and is headquartered in Kilsyth, Australia.</t>
        </is>
      </c>
      <c r="L94" s="25" t="inlineStr">
        <is>
          <t>Consumer Vehicle Parts Manufacturing</t>
        </is>
      </c>
      <c r="M94" s="25" t="inlineStr">
        <is>
          <t>Consumer Vehicles and Parts</t>
        </is>
      </c>
      <c r="N94" s="25" t="inlineStr">
        <is>
          <t>Consumer Vehicles and Parts</t>
        </is>
      </c>
      <c r="O94" s="30" t="inlineStr">
        <is>
          <t>Automobile Comfort/Safety/Electronics Parts Makers</t>
        </is>
      </c>
      <c r="P94" s="28" t="n">
        <v>205.513999999999</v>
      </c>
      <c r="Q94" s="28" t="n">
        <v>162.630018826642</v>
      </c>
      <c r="R94" s="28" t="n">
        <v>97.5269999999999</v>
      </c>
      <c r="S94" s="28" t="n">
        <v>22.2796387144855</v>
      </c>
      <c r="T94" s="28" t="n">
        <v>28.1545697028148</v>
      </c>
      <c r="U94" s="28" t="n">
        <v>13.3607964392033</v>
      </c>
    </row>
    <row r="95" ht="15" customHeight="1">
      <c r="A95" s="25" t="inlineStr">
        <is>
          <t>RSG-AU</t>
        </is>
      </c>
      <c r="B95" s="25" t="inlineStr">
        <is>
          <t>Resolute Mining Ltd.</t>
        </is>
      </c>
      <c r="C95" s="25" t="inlineStr">
        <is>
          <t>Public</t>
        </is>
      </c>
      <c r="D95" s="25" t="inlineStr">
        <is>
          <t>Australia</t>
        </is>
      </c>
      <c r="E95" s="26" t="n">
        <v>2001</v>
      </c>
      <c r="F95" s="27" t="n">
        <v>1099</v>
      </c>
      <c r="G95" s="28" t="n">
        <v>1214.33315196828</v>
      </c>
      <c r="H95" s="25" t="inlineStr">
        <is>
          <t>Pacific</t>
        </is>
      </c>
      <c r="I95" s="25" t="inlineStr">
        <is>
          <t>Western Australia (WA)</t>
        </is>
      </c>
      <c r="J95" s="28" t="n">
        <v>1323.67919661296</v>
      </c>
      <c r="K95" s="25" t="inlineStr">
        <is>
          <t>Resolute Mining Ltd. operates as a holding company, which engages in exploration, development, and operation of gold mines across Australia and Africa. The company was founded on June 8, 2001, and is headquartered in Perth, Australia.</t>
        </is>
      </c>
      <c r="L95" s="25" t="inlineStr">
        <is>
          <t>Precious Metal Mining</t>
        </is>
      </c>
      <c r="M95" s="25" t="inlineStr">
        <is>
          <t>Metal Ore Mining</t>
        </is>
      </c>
      <c r="N95" s="25" t="inlineStr">
        <is>
          <t>Mining and Mineral Products</t>
        </is>
      </c>
      <c r="O95" s="30" t="inlineStr">
        <is>
          <t>Other Gold Mining</t>
        </is>
      </c>
      <c r="P95" s="28" t="n">
        <v>318.595059034914</v>
      </c>
      <c r="Q95" s="28" t="n">
        <v>279.453098796068</v>
      </c>
      <c r="R95" s="28" t="n">
        <v>-42.9018200793265</v>
      </c>
      <c r="S95" s="28" t="n">
        <v>23.0128856769695</v>
      </c>
      <c r="T95" s="28" t="n">
        <v>26.2362152032589</v>
      </c>
      <c r="U95" s="28" t="n">
        <v>-3.53295304585798</v>
      </c>
    </row>
    <row r="96" ht="15" customHeight="1">
      <c r="A96" s="25" t="inlineStr">
        <is>
          <t>SFC-AU</t>
        </is>
      </c>
      <c r="B96" s="25" t="inlineStr">
        <is>
          <t>Schaffer Corp. Ltd.</t>
        </is>
      </c>
      <c r="C96" s="25" t="inlineStr">
        <is>
          <t>Public</t>
        </is>
      </c>
      <c r="D96" s="25" t="inlineStr">
        <is>
          <t>Australia</t>
        </is>
      </c>
      <c r="E96" s="26" t="n">
        <v>1955</v>
      </c>
      <c r="F96" s="27" t="n">
        <v>1000</v>
      </c>
      <c r="G96" s="28" t="n">
        <v>229.71</v>
      </c>
      <c r="H96" s="25" t="inlineStr">
        <is>
          <t>Pacific</t>
        </is>
      </c>
      <c r="I96" s="25" t="inlineStr">
        <is>
          <t>Western Australia (WA)</t>
        </is>
      </c>
      <c r="J96" s="28" t="n">
        <v>462.045011387801</v>
      </c>
      <c r="K96" s="25" t="inlineStr">
        <is>
          <t>Schaffer Corp. Ltd. is a diversified industrial and investment company, which engages in the provision of entities within the consolidated entity, over the financial year were automotive leather manufacture, concrete product manufacture, property and equity investing, and property leasing. It operates through the following segments: Automotive Leather, Group Investments, Building Materials, and South Connect Jandakot. The Automotive Leather segment manufactures and supplies leather in the automotive industries. The Group Investments segment includes syndicated property investments and investment property; and includes the leasing office and retail properties, and the development and sale of property assets. The Building Materials segment produces and sells concrete paving, pre-cast and pre-stressed concrete elements, and natural and reconstitutes limestone products. The South Connect Jandakot segment includes developable land zoned for a variety of commercial uses and manufacturing facilities. The company was founded by George Schaffer in April 1955 and is headquartered in West Perth, Australia.</t>
        </is>
      </c>
      <c r="L96" s="25" t="inlineStr">
        <is>
          <t>Textile Products</t>
        </is>
      </c>
      <c r="M96" s="25" t="inlineStr">
        <is>
          <t>Other Materials</t>
        </is>
      </c>
      <c r="N96" s="25" t="inlineStr">
        <is>
          <t>Manufactured Products</t>
        </is>
      </c>
      <c r="O96" s="30" t="inlineStr">
        <is>
          <t>General Textiles Makers</t>
        </is>
      </c>
      <c r="P96" s="28" t="n">
        <v>59.978</v>
      </c>
      <c r="Q96" s="28" t="n">
        <v>53.2059931714259</v>
      </c>
      <c r="R96" s="28" t="n">
        <v>24.2569999999999</v>
      </c>
      <c r="S96" s="28" t="n">
        <v>23.1622480518915</v>
      </c>
      <c r="T96" s="28" t="n">
        <v>26.1103130033521</v>
      </c>
      <c r="U96" s="28" t="n">
        <v>10.5598363153541</v>
      </c>
    </row>
    <row r="97" ht="15" customHeight="1">
      <c r="A97" s="25" t="inlineStr">
        <is>
          <t>SHV-AU</t>
        </is>
      </c>
      <c r="B97" s="25" t="inlineStr">
        <is>
          <t>Select Harvests Ltd.</t>
        </is>
      </c>
      <c r="C97" s="25" t="inlineStr">
        <is>
          <t>Public</t>
        </is>
      </c>
      <c r="D97" s="25" t="inlineStr">
        <is>
          <t>Australia</t>
        </is>
      </c>
      <c r="E97" s="26" t="n">
        <v>1969</v>
      </c>
      <c r="F97" s="27" t="n">
        <v>471</v>
      </c>
      <c r="G97" s="28" t="n">
        <v>336.837999999999</v>
      </c>
      <c r="H97" s="25" t="inlineStr">
        <is>
          <t>Pacific</t>
        </is>
      </c>
      <c r="I97" s="25" t="inlineStr">
        <is>
          <t>Victoria (VIC)</t>
        </is>
      </c>
      <c r="J97" s="28" t="n">
        <v>1010.06801730886</v>
      </c>
      <c r="K97" s="25" t="inlineStr">
        <is>
          <t>Select Harvests Ltd. engages in the processing, packaging, marketing, and distribution of edible nuts, dried fruits, seeds, and a range of natural health products. It operates through following segments: Sale of Goods, Management Services, and Government Grant and Other Revenue. The Sale of Goods segment refers to the when the goods are shipped to the customer or when the services have been provided. The Management Services segment offers services provided for the management and development of farms as well as acting as sales agent for external growers by selling almonds on their behalf. The Government Grant and Other Revenue segment represents the assistance by the government in the form of transfers of resource to the group. The company was founded in 1978 and is headquartered in Richmond, Australia.</t>
        </is>
      </c>
      <c r="L97" s="25" t="inlineStr">
        <is>
          <t>Crop Production</t>
        </is>
      </c>
      <c r="M97" s="25" t="inlineStr">
        <is>
          <t>Agriculture</t>
        </is>
      </c>
      <c r="N97" s="25" t="inlineStr">
        <is>
          <t>Food and Tobacco Production</t>
        </is>
      </c>
      <c r="O97" s="30" t="inlineStr">
        <is>
          <t>Fruit, Nut and Vegetable Farming</t>
        </is>
      </c>
      <c r="P97" s="28" t="n">
        <v>5.81400000000003</v>
      </c>
      <c r="Q97" s="28" t="n">
        <v>1.95000128556967</v>
      </c>
      <c r="R97" s="28" t="n">
        <v>1.5</v>
      </c>
      <c r="S97" s="28" t="n">
        <v>0.578913305505911</v>
      </c>
      <c r="T97" s="28" t="n">
        <v>1.72605228626225</v>
      </c>
      <c r="U97" s="28" t="n">
        <v>0.445317927312239</v>
      </c>
    </row>
    <row r="98" ht="15" customHeight="1">
      <c r="A98" s="25" t="inlineStr">
        <is>
          <t>FWD-AU</t>
        </is>
      </c>
      <c r="B98" s="25" t="inlineStr">
        <is>
          <t>Fleetwood Ltd.</t>
        </is>
      </c>
      <c r="C98" s="25" t="inlineStr">
        <is>
          <t>Public</t>
        </is>
      </c>
      <c r="D98" s="25" t="inlineStr">
        <is>
          <t>Australia</t>
        </is>
      </c>
      <c r="E98" s="26" t="n">
        <v>1986</v>
      </c>
      <c r="F98" s="27" t="inlineStr">
        <is>
          <t>-</t>
        </is>
      </c>
      <c r="G98" s="28" t="n">
        <v>503.083</v>
      </c>
      <c r="H98" s="25" t="inlineStr">
        <is>
          <t>Pacific</t>
        </is>
      </c>
      <c r="I98" s="25" t="inlineStr">
        <is>
          <t>New South Wales (NSW)</t>
        </is>
      </c>
      <c r="J98" s="28" t="n">
        <v>257.433006344827</v>
      </c>
      <c r="K98" s="25" t="inlineStr">
        <is>
          <t>Fleetwood Ltd. engages in the manufacturing and selling of caravans, spare parts, and accessories. It manufactures marine equipment, campers and fiber glass canopy. The company also provides a park home, transportable home and portable accommodation. It operates through the following segments: RV Solutions, Building Solutions, and Community Solutions. The RV Solutions segment is engaged in manufacturing, installation, and distribution of recreational vehicle parts and accessories. The Building Solutions segment designs, creates, and sales manufactured accommodation. The Community Solutions segment handles the operation of communities. The company was founded in 1964 and is headquartered in East Perth, Australia.</t>
        </is>
      </c>
      <c r="L98" s="25" t="inlineStr">
        <is>
          <t>Manufactured Building Makers</t>
        </is>
      </c>
      <c r="M98" s="25" t="inlineStr">
        <is>
          <t>Home Builders and Manufactured Buildings</t>
        </is>
      </c>
      <c r="N98" s="25" t="inlineStr">
        <is>
          <t>Miscellaneous Retail</t>
        </is>
      </c>
      <c r="O98" s="30" t="inlineStr">
        <is>
          <t>Manufactured Building Makers</t>
        </is>
      </c>
      <c r="P98" s="28" t="n">
        <v>79.3039999999999</v>
      </c>
      <c r="Q98" s="28" t="n">
        <v>54.1380053973272</v>
      </c>
      <c r="R98" s="28" t="n">
        <v>14.5599999999999</v>
      </c>
      <c r="S98" s="28" t="n">
        <v>10.7612461562009</v>
      </c>
      <c r="T98" s="28" t="n">
        <v>15.763601632335</v>
      </c>
      <c r="U98" s="28" t="n">
        <v>2.8941546424745</v>
      </c>
    </row>
    <row r="99" ht="15" customHeight="1">
      <c r="A99" s="25" t="inlineStr">
        <is>
          <t>APE-AU</t>
        </is>
      </c>
      <c r="B99" s="25" t="inlineStr">
        <is>
          <t>Eagers Automotive Ltd.</t>
        </is>
      </c>
      <c r="C99" s="25" t="inlineStr">
        <is>
          <t>Public</t>
        </is>
      </c>
      <c r="D99" s="25" t="inlineStr">
        <is>
          <t>Australia</t>
        </is>
      </c>
      <c r="E99" s="26" t="n">
        <v>1957</v>
      </c>
      <c r="F99" s="27" t="n">
        <v>8588</v>
      </c>
      <c r="G99" s="28" t="n">
        <v>11193.742</v>
      </c>
      <c r="H99" s="25" t="inlineStr">
        <is>
          <t>Pacific</t>
        </is>
      </c>
      <c r="I99" s="25" t="inlineStr">
        <is>
          <t>Queensland (QLD)</t>
        </is>
      </c>
      <c r="J99" s="28" t="n">
        <v>5689.9778235068</v>
      </c>
      <c r="K99" s="25" t="inlineStr">
        <is>
          <t>Eagers Automotive Ltd. engages in the management of automotive dealerships. Its activities include the sale of new and used vehicles, distribution and sale of parts, and accessories, repair and servicing of vehicles, provision of extended warranties, facilitation of finance and leasing in respect of motor vehicles, and the ownership of property and investments. It operates through the following segments: Car Retailing, Truck Retailing, Property, and Investment. The Car Retailing segment offers a range of automotive products and services, including new, used, maintenance and repair services, parts, extended service contracts, brokerage, and protection for vehicles. The Truck Retailing segment provides products and services, including new trucks, used, maintenance and repair services, parts, extended service contracts, protection, and other aftermarket products. The Property segment is the acquisition of commercial properties use as facility premises for its motor dealership operations. The Investment segment includes the investments in DealerMotive Limited, Automotive Holdings Group Limited, Smartgroup Corporation Limited, and Dealercell Holdings Pty Limited. The company was founded by Edward Eager and Frederick Eager in 1913 and is headquartered in Brisbane, Australia.</t>
        </is>
      </c>
      <c r="L99" s="25" t="inlineStr">
        <is>
          <t>Motor Vehicle Sales</t>
        </is>
      </c>
      <c r="M99" s="25" t="inlineStr">
        <is>
          <t>Auto Retail</t>
        </is>
      </c>
      <c r="N99" s="25" t="inlineStr">
        <is>
          <t>Miscellaneous Retail</t>
        </is>
      </c>
      <c r="O99" s="30" t="inlineStr">
        <is>
          <t>Automobile Dealers</t>
        </is>
      </c>
      <c r="P99" s="28" t="n">
        <v>1058.149</v>
      </c>
      <c r="Q99" s="28" t="n">
        <v>688.098013892989</v>
      </c>
      <c r="R99" s="28" t="n">
        <v>205.094999999999</v>
      </c>
      <c r="S99" s="28" t="n">
        <v>6.14716687234707</v>
      </c>
      <c r="T99" s="28" t="n">
        <v>9.453040815126879</v>
      </c>
      <c r="U99" s="28" t="n">
        <v>1.83222911516095</v>
      </c>
    </row>
    <row r="100" ht="15" customHeight="1">
      <c r="A100" s="25" t="inlineStr">
        <is>
          <t>MAH-AU</t>
        </is>
      </c>
      <c r="B100" s="25" t="inlineStr">
        <is>
          <t>Macmahon Holdings Ltd.</t>
        </is>
      </c>
      <c r="C100" s="25" t="inlineStr">
        <is>
          <t>Public</t>
        </is>
      </c>
      <c r="D100" s="25" t="inlineStr">
        <is>
          <t>Australia</t>
        </is>
      </c>
      <c r="E100" s="26" t="n">
        <v>1963</v>
      </c>
      <c r="F100" s="27" t="n">
        <v>10220</v>
      </c>
      <c r="G100" s="28" t="n">
        <v>2427.45799999999</v>
      </c>
      <c r="H100" s="25" t="inlineStr">
        <is>
          <t>Pacific</t>
        </is>
      </c>
      <c r="I100" s="25" t="inlineStr">
        <is>
          <t>Western Australia (WA)</t>
        </is>
      </c>
      <c r="J100" s="28" t="n">
        <v>1760.59304339249</v>
      </c>
      <c r="K100" s="25" t="inlineStr">
        <is>
          <t>Macmahon Holdings Ltd. engages in the provision of mining activities. It offers Surface mining, underground mining, and mining support and civil infrastructure. The company was founded on August 5, 1963 and is headquartered in Perth, Australia.</t>
        </is>
      </c>
      <c r="L100" s="25" t="inlineStr">
        <is>
          <t>Specialty Contracting Services</t>
        </is>
      </c>
      <c r="M100" s="25" t="inlineStr">
        <is>
          <t>Facilities and Construction Services</t>
        </is>
      </c>
      <c r="N100" s="25" t="inlineStr">
        <is>
          <t>Industrial Services</t>
        </is>
      </c>
      <c r="O100" s="30" t="inlineStr">
        <is>
          <t>Industrial Specialty Engineering Contractors</t>
        </is>
      </c>
      <c r="P100" s="28" t="n">
        <v>506.824999999999</v>
      </c>
      <c r="Q100" s="28" t="n">
        <v>361.942995060477</v>
      </c>
      <c r="R100" s="28" t="n">
        <v>73.944</v>
      </c>
      <c r="S100" s="28" t="n">
        <v>14.9103712608004</v>
      </c>
      <c r="T100" s="28" t="n">
        <v>20.8788370385811</v>
      </c>
      <c r="U100" s="28" t="n">
        <v>3.04614951113469</v>
      </c>
    </row>
    <row r="101" ht="15" customHeight="1">
      <c r="A101" s="25" t="inlineStr">
        <is>
          <t>KSC-AU</t>
        </is>
      </c>
      <c r="B101" s="25" t="inlineStr">
        <is>
          <t>K&amp;S Corp. Ltd.</t>
        </is>
      </c>
      <c r="C101" s="25" t="inlineStr">
        <is>
          <t>Public</t>
        </is>
      </c>
      <c r="D101" s="25" t="inlineStr">
        <is>
          <t>Australia</t>
        </is>
      </c>
      <c r="E101" s="26" t="n">
        <v>1945</v>
      </c>
      <c r="F101" s="27" t="n">
        <v>1668</v>
      </c>
      <c r="G101" s="28" t="n">
        <v>744.806</v>
      </c>
      <c r="H101" s="25" t="inlineStr">
        <is>
          <t>Pacific</t>
        </is>
      </c>
      <c r="I101" s="25" t="inlineStr">
        <is>
          <t>Victoria (VIC)</t>
        </is>
      </c>
      <c r="J101" s="28" t="n">
        <v>724.461017855442</v>
      </c>
      <c r="K101" s="25" t="inlineStr">
        <is>
          <t>K&amp;S Corp. Ltd. engages in the provision of transport, logistics, contract management, warehousing, and fuel distribution services. It operates through the following segments: Australian Transport, Fuels, and New Zealand Transport. The Australian Transport segment provides logistics services to customers. The Fuel segment distributes fuels to fishing, farming, and retail customers within the Southeast of South Australia. The New Zealand Transport segment offers logistics services to customers within New Zealand. The company was founded in 1945 and is headquartered in Truganina, Australia.</t>
        </is>
      </c>
      <c r="L101" s="25" t="inlineStr">
        <is>
          <t>Road and Rail Transportation Operators</t>
        </is>
      </c>
      <c r="M101" s="25" t="inlineStr">
        <is>
          <t>Cargo Transportation and Infrastructure Services</t>
        </is>
      </c>
      <c r="N101" s="25" t="inlineStr">
        <is>
          <t>Industrial Services</t>
        </is>
      </c>
      <c r="O101" s="30" t="inlineStr">
        <is>
          <t>Road Transportation</t>
        </is>
      </c>
      <c r="P101" s="28" t="n">
        <v>69.01300000000001</v>
      </c>
      <c r="Q101" s="28" t="n">
        <v>74.49299182573721</v>
      </c>
      <c r="R101" s="28" t="n">
        <v>29.197</v>
      </c>
      <c r="S101" s="28" t="n">
        <v>10.001664863065</v>
      </c>
      <c r="T101" s="28" t="n">
        <v>9.265902798849631</v>
      </c>
      <c r="U101" s="28" t="n">
        <v>3.92008120235336</v>
      </c>
    </row>
    <row r="102" ht="15" customHeight="1">
      <c r="A102" s="25" t="inlineStr">
        <is>
          <t>EBO-NZ</t>
        </is>
      </c>
      <c r="B102" s="25" t="inlineStr">
        <is>
          <t>EBOS Group Ltd.</t>
        </is>
      </c>
      <c r="C102" s="25" t="inlineStr">
        <is>
          <t>Public</t>
        </is>
      </c>
      <c r="D102" s="25" t="inlineStr">
        <is>
          <t>Australia</t>
        </is>
      </c>
      <c r="E102" s="26" t="n">
        <v>2013</v>
      </c>
      <c r="F102" s="27" t="n">
        <v>5700</v>
      </c>
      <c r="G102" s="28" t="n">
        <v>12266.8980000799</v>
      </c>
      <c r="H102" s="25" t="inlineStr">
        <is>
          <t>Pacific</t>
        </is>
      </c>
      <c r="I102" s="25" t="inlineStr">
        <is>
          <t>Victoria (VIC)</t>
        </is>
      </c>
      <c r="J102" s="28" t="n">
        <v>7278.24513870189</v>
      </c>
      <c r="K102" s="25" t="inlineStr">
        <is>
          <t>EBOS Group Ltd. engages in the provision of healthcare and animal care products and services. It operates through the following segments: Healthcare, Animal Care, and Corporate. The Healthcare segment incorporates the sale of healthcare products in a range of sectors, own brands, retail healthcare and wholesale activities. The Animal Care segment sells animal care products in a range of sectors, own brands, retail and wholesale activities. The Corporate segment includes net funding costs and central administration expenses. The company was founded on September 11, 1922 and is headquartered in Docklands, Australia.</t>
        </is>
      </c>
      <c r="L102" s="25" t="inlineStr">
        <is>
          <t>Healthcare Distributors</t>
        </is>
      </c>
      <c r="M102" s="25" t="inlineStr">
        <is>
          <t>Healthcare Support Services</t>
        </is>
      </c>
      <c r="N102" s="25" t="inlineStr">
        <is>
          <t>Healthcare Services</t>
        </is>
      </c>
      <c r="O102" s="30" t="inlineStr">
        <is>
          <t>Wholesale Pharmaceuticals Distributors</t>
        </is>
      </c>
      <c r="P102" s="28" t="n">
        <v>921.121000005989</v>
      </c>
      <c r="Q102" s="28" t="n">
        <v>570.800001924561</v>
      </c>
      <c r="R102" s="28" t="n">
        <v>215.1380000014</v>
      </c>
      <c r="S102" s="28" t="n">
        <v>4.65317314003335</v>
      </c>
      <c r="T102" s="28" t="n">
        <v>7.50899697706777</v>
      </c>
      <c r="U102" s="28" t="n">
        <v>1.7538093167482</v>
      </c>
    </row>
    <row r="103" ht="15" customHeight="1">
      <c r="A103" s="25" t="inlineStr">
        <is>
          <t>MND-AU</t>
        </is>
      </c>
      <c r="B103" s="25" t="inlineStr">
        <is>
          <t>Monadelphous Group Ltd.</t>
        </is>
      </c>
      <c r="C103" s="25" t="inlineStr">
        <is>
          <t>Public</t>
        </is>
      </c>
      <c r="D103" s="25" t="inlineStr">
        <is>
          <t>Australia</t>
        </is>
      </c>
      <c r="E103" s="26" t="n">
        <v>1981</v>
      </c>
      <c r="F103" s="27" t="n">
        <v>7375</v>
      </c>
      <c r="G103" s="28" t="n">
        <v>2153.15599999999</v>
      </c>
      <c r="H103" s="25" t="inlineStr">
        <is>
          <t>Pacific</t>
        </is>
      </c>
      <c r="I103" s="25" t="inlineStr">
        <is>
          <t>Western Australia (WA)</t>
        </is>
      </c>
      <c r="J103" s="28" t="n">
        <v>1005.23002477542</v>
      </c>
      <c r="K103" s="25" t="inlineStr">
        <is>
          <t>Monadelphous Group Ltd. provides construction, maintenance and industrial services to the resources, energy and infrastructure sectors. It operates through the following geographical segments: Australia, Chile, Papua New Guinea, Mongolia, and Other overseas locations. The company was founded in 1972 and is headquartered in Perth, Australia.</t>
        </is>
      </c>
      <c r="L103" s="25" t="inlineStr">
        <is>
          <t>Specialty Contracting Services</t>
        </is>
      </c>
      <c r="M103" s="25" t="inlineStr">
        <is>
          <t>Facilities and Construction Services</t>
        </is>
      </c>
      <c r="N103" s="25" t="inlineStr">
        <is>
          <t>Industrial Services</t>
        </is>
      </c>
      <c r="O103" s="30" t="inlineStr">
        <is>
          <t>Industrial Specialty Engineering Contractors</t>
        </is>
      </c>
      <c r="P103" s="28" t="n">
        <v>153.715999999999</v>
      </c>
      <c r="Q103" s="28" t="n">
        <v>137.793992967651</v>
      </c>
      <c r="R103" s="28" t="n">
        <v>83.721</v>
      </c>
      <c r="S103" s="28" t="n">
        <v>6.39962919546935</v>
      </c>
      <c r="T103" s="28" t="n">
        <v>7.1391018579239</v>
      </c>
      <c r="U103" s="28" t="n">
        <v>3.88829234853397</v>
      </c>
    </row>
    <row r="104" ht="15" customHeight="1">
      <c r="A104" s="25" t="inlineStr">
        <is>
          <t>EWC-AU</t>
        </is>
      </c>
      <c r="B104" s="25" t="inlineStr">
        <is>
          <t>Energy World Corp. Ltd.</t>
        </is>
      </c>
      <c r="C104" s="25" t="inlineStr">
        <is>
          <t>Public</t>
        </is>
      </c>
      <c r="D104" s="25" t="inlineStr">
        <is>
          <t>Australia</t>
        </is>
      </c>
      <c r="E104" s="26" t="n">
        <v>1985</v>
      </c>
      <c r="F104" s="27" t="inlineStr">
        <is>
          <t>-</t>
        </is>
      </c>
      <c r="G104" s="28" t="n">
        <v>0</v>
      </c>
      <c r="H104" s="25" t="inlineStr">
        <is>
          <t>Pacific</t>
        </is>
      </c>
      <c r="I104" s="25" t="inlineStr">
        <is>
          <t>New South Wales (NSW)</t>
        </is>
      </c>
      <c r="J104" s="28" t="n">
        <v>1187.08784493609</v>
      </c>
      <c r="K104" s="25" t="inlineStr">
        <is>
          <t>Energy World Corp. Ltd. operates as an integrated energy company, which engages in the production and sale of power and natural gas. The company operates and maintains gas processing plants and gas pipelines. It engages in the development, design, construction and operation of power and LNG plants. The company operates through the following segments: Oil and Gas in Australia; Power in Australia; Oil and Gas in Indonesia; Power in Indonesia; and Project Development. The company was founded in 1985 and is headquartered in Sydney, Australia.</t>
        </is>
      </c>
      <c r="L104" s="25" t="inlineStr">
        <is>
          <t>Natural Gas Utilities</t>
        </is>
      </c>
      <c r="M104" s="25" t="inlineStr">
        <is>
          <t>Energy Utilities</t>
        </is>
      </c>
      <c r="N104" s="25" t="inlineStr">
        <is>
          <t>Utilities</t>
        </is>
      </c>
      <c r="O104" s="30" t="inlineStr">
        <is>
          <t>International Natural Gas Utilities</t>
        </is>
      </c>
      <c r="P104" s="28" t="n">
        <v>-2.63421613219774</v>
      </c>
      <c r="Q104" s="28" t="n">
        <v>-4.17676121779818</v>
      </c>
      <c r="R104" s="28" t="n">
        <v>544.1957005858779</v>
      </c>
      <c r="S104" s="28" t="inlineStr">
        <is>
          <t>-</t>
        </is>
      </c>
      <c r="T104" s="28" t="inlineStr">
        <is>
          <t>-</t>
        </is>
      </c>
      <c r="U104" s="28" t="inlineStr">
        <is>
          <t>-</t>
        </is>
      </c>
    </row>
    <row r="105" ht="15" customHeight="1">
      <c r="A105" s="25" t="inlineStr">
        <is>
          <t>WAT-AU</t>
        </is>
      </c>
      <c r="B105" s="25" t="inlineStr">
        <is>
          <t>Waterco Ltd.</t>
        </is>
      </c>
      <c r="C105" s="25" t="inlineStr">
        <is>
          <t>Public</t>
        </is>
      </c>
      <c r="D105" s="25" t="inlineStr">
        <is>
          <t>Australia</t>
        </is>
      </c>
      <c r="E105" s="26" t="n">
        <v>1981</v>
      </c>
      <c r="F105" s="27" t="n">
        <v>931</v>
      </c>
      <c r="G105" s="28" t="n">
        <v>249.443</v>
      </c>
      <c r="H105" s="25" t="inlineStr">
        <is>
          <t>Pacific</t>
        </is>
      </c>
      <c r="I105" s="25" t="inlineStr">
        <is>
          <t>New South Wales (NSW)</t>
        </is>
      </c>
      <c r="J105" s="28" t="n">
        <v>264.24300651267</v>
      </c>
      <c r="K105" s="25" t="inlineStr">
        <is>
          <t>Waterco Ltd. engages in providing water treatment solutions. It focuses on pool and spa, water treatment, and aquaculture. It operates through the following geographical segments: Australia and New Zealand, Asia, and North America and Europe. The company was founded by Soon Sinn Goh in February 1981 and is headquartered in Rydalmere, Australia.</t>
        </is>
      </c>
      <c r="L105" s="25" t="inlineStr">
        <is>
          <t>Other Leisure Goods</t>
        </is>
      </c>
      <c r="M105" s="25" t="inlineStr">
        <is>
          <t>Leisure Goods Products</t>
        </is>
      </c>
      <c r="N105" s="25" t="inlineStr">
        <is>
          <t>Consumer Goods</t>
        </is>
      </c>
      <c r="O105" s="30" t="inlineStr">
        <is>
          <t>Swimming Pool and Spa Products</t>
        </is>
      </c>
      <c r="P105" s="28" t="n">
        <v>51.833</v>
      </c>
      <c r="Q105" s="28" t="n">
        <v>26.3509935119419</v>
      </c>
      <c r="R105" s="28" t="n">
        <v>9.570999999999991</v>
      </c>
      <c r="S105" s="28" t="n">
        <v>10.5639364504115</v>
      </c>
      <c r="T105" s="28" t="n">
        <v>20.7794967186892</v>
      </c>
      <c r="U105" s="28" t="n">
        <v>3.83694872175206</v>
      </c>
    </row>
    <row r="106" ht="15" customHeight="1">
      <c r="A106" s="25" t="inlineStr">
        <is>
          <t>HSN-AU</t>
        </is>
      </c>
      <c r="B106" s="25" t="inlineStr">
        <is>
          <t>Hansen Technologies Ltd.</t>
        </is>
      </c>
      <c r="C106" s="25" t="inlineStr">
        <is>
          <t>Public</t>
        </is>
      </c>
      <c r="D106" s="25" t="inlineStr">
        <is>
          <t>Australia</t>
        </is>
      </c>
      <c r="E106" s="26" t="n">
        <v>2000</v>
      </c>
      <c r="F106" s="27" t="n">
        <v>1643</v>
      </c>
      <c r="G106" s="28" t="n">
        <v>392.486</v>
      </c>
      <c r="H106" s="25" t="inlineStr">
        <is>
          <t>Pacific</t>
        </is>
      </c>
      <c r="I106" s="25" t="inlineStr">
        <is>
          <t>Victoria (VIC)</t>
        </is>
      </c>
      <c r="J106" s="28" t="n">
        <v>601.242014818522</v>
      </c>
      <c r="K106" s="25" t="inlineStr">
        <is>
          <t>Hansen Technologies Ltd. engages in the development, integration, and support of billing systems software for the energy and communications sector. It operates through the Billing and Other segments. The company was founded by Kenneth A. Hansen in 1971 and is headquartered in Melbourne, Australia.</t>
        </is>
      </c>
      <c r="L106" s="25" t="inlineStr">
        <is>
          <t>Other Electric and Natural Gas Utilities</t>
        </is>
      </c>
      <c r="M106" s="25" t="inlineStr">
        <is>
          <t>Energy Utilities</t>
        </is>
      </c>
      <c r="N106" s="25" t="inlineStr">
        <is>
          <t>Utilities</t>
        </is>
      </c>
      <c r="O106" s="30" t="inlineStr">
        <is>
          <t>Utilities Industry Software</t>
        </is>
      </c>
      <c r="P106" s="28" t="n">
        <v>82.5089999999999</v>
      </c>
      <c r="Q106" s="28" t="n">
        <v>111.523986932926</v>
      </c>
      <c r="R106" s="28" t="n">
        <v>43.3239999999999</v>
      </c>
      <c r="S106" s="28" t="n">
        <v>28.4147714822949</v>
      </c>
      <c r="T106" s="28" t="n">
        <v>21.0221511085746</v>
      </c>
      <c r="U106" s="28" t="n">
        <v>11.0383555082219</v>
      </c>
    </row>
    <row r="107" ht="15" customHeight="1">
      <c r="A107" s="25" t="inlineStr">
        <is>
          <t>IMD-AU</t>
        </is>
      </c>
      <c r="B107" s="25" t="inlineStr">
        <is>
          <t>Imdex Ltd.</t>
        </is>
      </c>
      <c r="C107" s="25" t="inlineStr">
        <is>
          <t>Public</t>
        </is>
      </c>
      <c r="D107" s="25" t="inlineStr">
        <is>
          <t>Australia</t>
        </is>
      </c>
      <c r="E107" s="26" t="n">
        <v>1980</v>
      </c>
      <c r="F107" s="27" t="n">
        <v>816</v>
      </c>
      <c r="G107" s="28" t="n">
        <v>431.394999999999</v>
      </c>
      <c r="H107" s="25" t="inlineStr">
        <is>
          <t>Pacific</t>
        </is>
      </c>
      <c r="I107" s="25" t="inlineStr">
        <is>
          <t>Western Australia (WA)</t>
        </is>
      </c>
      <c r="J107" s="28" t="n">
        <v>830.148020460259</v>
      </c>
      <c r="K107" s="25" t="inlineStr">
        <is>
          <t>Imdex Ltd. engages in the provision of mining equipment, technology, and services. It operates through the following geographical segments: Americas, Asia Pacific, and Africa and Europe. The company was founded on December 17, 1980, and is headquartered in Balcatta, Australia.</t>
        </is>
      </c>
      <c r="L107" s="25" t="inlineStr">
        <is>
          <t>Industrial Machine Parts and Support Equipment</t>
        </is>
      </c>
      <c r="M107" s="25" t="inlineStr">
        <is>
          <t>Machinery Manufacturing</t>
        </is>
      </c>
      <c r="N107" s="25" t="inlineStr">
        <is>
          <t>Industrial Manufacturing</t>
        </is>
      </c>
      <c r="O107" s="30" t="inlineStr">
        <is>
          <t>Monitoring and Control Sensor/Instrument Products</t>
        </is>
      </c>
      <c r="P107" s="28" t="n">
        <v>128.777999999999</v>
      </c>
      <c r="Q107" s="28" t="n">
        <v>123.740017557468</v>
      </c>
      <c r="R107" s="28" t="n">
        <v>55.1899999999999</v>
      </c>
      <c r="S107" s="28" t="n">
        <v>28.6836889625517</v>
      </c>
      <c r="T107" s="28" t="n">
        <v>29.8515281818287</v>
      </c>
      <c r="U107" s="28" t="n">
        <v>12.7933796172881</v>
      </c>
    </row>
    <row r="108" ht="15" customHeight="1">
      <c r="A108" s="25" t="inlineStr">
        <is>
          <t>CWP-AU</t>
        </is>
      </c>
      <c r="B108" s="25" t="inlineStr">
        <is>
          <t>Cedar Woods Properties Ltd.</t>
        </is>
      </c>
      <c r="C108" s="25" t="inlineStr">
        <is>
          <t>Public</t>
        </is>
      </c>
      <c r="D108" s="25" t="inlineStr">
        <is>
          <t>Australia</t>
        </is>
      </c>
      <c r="E108" s="26" t="n">
        <v>1987</v>
      </c>
      <c r="F108" s="27" t="n">
        <v>93</v>
      </c>
      <c r="G108" s="28" t="n">
        <v>468.595</v>
      </c>
      <c r="H108" s="25" t="inlineStr">
        <is>
          <t>Pacific</t>
        </is>
      </c>
      <c r="I108" s="25" t="inlineStr">
        <is>
          <t>Western Australia (WA)</t>
        </is>
      </c>
      <c r="J108" s="28" t="n">
        <v>857.684021138926</v>
      </c>
      <c r="K108" s="25" t="inlineStr">
        <is>
          <t>Cedar Woods Properties Ltd. engages in property investment and development. The firm's principal interests are in urban land and built form development for residential, industrial and commercial purposes. Its projects include St. A in St Albans, Jackson Green in Clayton South, Williams Landing, Bushmead, Harrisdale Green, Ellendale, and Glenside. The company was founded by William George Hames and Ross James Neumann in 1987 and is headquartered in West Perth, Australia.</t>
        </is>
      </c>
      <c r="L108" s="25" t="inlineStr">
        <is>
          <t>Other Real Estate Investment and Services</t>
        </is>
      </c>
      <c r="M108" s="25" t="inlineStr">
        <is>
          <t>Real Estate Investment and Services</t>
        </is>
      </c>
      <c r="N108" s="25" t="inlineStr">
        <is>
          <t>Real Estate</t>
        </is>
      </c>
      <c r="O108" s="30" t="inlineStr">
        <is>
          <t>Real Estate Developers</t>
        </is>
      </c>
      <c r="P108" s="28" t="n">
        <v>134.921</v>
      </c>
      <c r="Q108" s="28" t="n">
        <v>86.9769991265634</v>
      </c>
      <c r="R108" s="28" t="n">
        <v>48.1399999999999</v>
      </c>
      <c r="S108" s="28" t="n">
        <v>18.5612309136888</v>
      </c>
      <c r="T108" s="28" t="n">
        <v>28.7926674420342</v>
      </c>
      <c r="U108" s="28" t="n">
        <v>10.2732636925277</v>
      </c>
    </row>
    <row r="109" ht="15" customHeight="1">
      <c r="A109" s="25" t="inlineStr">
        <is>
          <t>LYC-AU</t>
        </is>
      </c>
      <c r="B109" s="25" t="inlineStr">
        <is>
          <t>Lynas Rare Earths Ltd.</t>
        </is>
      </c>
      <c r="C109" s="25" t="inlineStr">
        <is>
          <t>Public</t>
        </is>
      </c>
      <c r="D109" s="25" t="inlineStr">
        <is>
          <t>Australia</t>
        </is>
      </c>
      <c r="E109" s="26" t="n">
        <v>1983</v>
      </c>
      <c r="F109" s="27" t="n">
        <v>1127</v>
      </c>
      <c r="G109" s="28" t="n">
        <v>556.5119999999999</v>
      </c>
      <c r="H109" s="25" t="inlineStr">
        <is>
          <t>Pacific</t>
        </is>
      </c>
      <c r="I109" s="25" t="inlineStr">
        <is>
          <t>Western Australia (WA)</t>
        </is>
      </c>
      <c r="J109" s="28" t="n">
        <v>2944.21807256473</v>
      </c>
      <c r="K109" s="25" t="inlineStr">
        <is>
          <t>Lynas Rare Earths Ltd. engages in the production of rare earth minerals. It focuses on the exploration, development, mining, and processing of rare earth deposits. The company was founded by Nicholas Anthony Curtis on May 23, 1983 and is headquartered in Perth, Australia.</t>
        </is>
      </c>
      <c r="L109" s="25" t="inlineStr">
        <is>
          <t>Base Metal Mining</t>
        </is>
      </c>
      <c r="M109" s="25" t="inlineStr">
        <is>
          <t>Metal Ore Mining</t>
        </is>
      </c>
      <c r="N109" s="25" t="inlineStr">
        <is>
          <t>Mining and Mineral Products</t>
        </is>
      </c>
      <c r="O109" s="30" t="inlineStr">
        <is>
          <t>Rare Earth Elements Ore Mining</t>
        </is>
      </c>
      <c r="P109" s="28" t="n">
        <v>86.8509999999999</v>
      </c>
      <c r="Q109" s="28" t="n">
        <v>118.214000336958</v>
      </c>
      <c r="R109" s="28" t="n">
        <v>7.99</v>
      </c>
      <c r="S109" s="28" t="n">
        <v>21.2419498591225</v>
      </c>
      <c r="T109" s="28" t="n">
        <v>15.606312172963</v>
      </c>
      <c r="U109" s="28" t="n">
        <v>1.43572825024438</v>
      </c>
    </row>
    <row r="110" ht="15" customHeight="1">
      <c r="A110" s="25" t="inlineStr">
        <is>
          <t>PRN-AU</t>
        </is>
      </c>
      <c r="B110" s="25" t="inlineStr">
        <is>
          <t>Perenti Ltd.</t>
        </is>
      </c>
      <c r="C110" s="25" t="inlineStr">
        <is>
          <t>Public</t>
        </is>
      </c>
      <c r="D110" s="25" t="inlineStr">
        <is>
          <t>Australia</t>
        </is>
      </c>
      <c r="E110" s="26" t="n">
        <v>1986</v>
      </c>
      <c r="F110" s="27" t="n">
        <v>10290</v>
      </c>
      <c r="G110" s="28" t="n">
        <v>3489.546</v>
      </c>
      <c r="H110" s="25" t="inlineStr">
        <is>
          <t>Pacific</t>
        </is>
      </c>
      <c r="I110" s="25" t="inlineStr">
        <is>
          <t>Western Australia (WA)</t>
        </is>
      </c>
      <c r="J110" s="28" t="n">
        <v>3416.69208420956</v>
      </c>
      <c r="K110" s="25" t="inlineStr">
        <is>
          <t>Perenti Ltd. is a mining and energy services company, which engages in the provision of exploration, mine development, surfacing and underground mining, and energy and infrastructure services. It operates through the following segments: Contract Mining, Drilling Services, Mining and Technology Services, and Corporate. The Contract Mining segment provides underground and surface contract mining services. The Drilling Services segment offers drilling services across all stages of the mine life cycle. The Mining and Technology Services segment includes equipment hire, equipment parts and sales, supply of equipment, logistics services, and technology driven products and services. The Corporate segment focuses on corporate activity covering strategy, treasury, accounting, human resources, information technology, procurement, legal, risk, investor relations, and other corporate administration. The company was founded by James Edward Askew and Ronald George Sayers in 1987 and is headquartered in Perth, Australia.</t>
        </is>
      </c>
      <c r="L110" s="25" t="inlineStr">
        <is>
          <t>Specialty Contracting Services</t>
        </is>
      </c>
      <c r="M110" s="25" t="inlineStr">
        <is>
          <t>Facilities and Construction Services</t>
        </is>
      </c>
      <c r="N110" s="25" t="inlineStr">
        <is>
          <t>Industrial Services</t>
        </is>
      </c>
      <c r="O110" s="30" t="inlineStr">
        <is>
          <t>Industrial Specialty Engineering Contractors</t>
        </is>
      </c>
      <c r="P110" s="28" t="n">
        <v>611.658999999999</v>
      </c>
      <c r="Q110" s="28" t="n">
        <v>612.485993548764</v>
      </c>
      <c r="R110" s="28" t="n">
        <v>120.615</v>
      </c>
      <c r="S110" s="28" t="n">
        <v>17.5520253924149</v>
      </c>
      <c r="T110" s="28" t="n">
        <v>17.5283260343896</v>
      </c>
      <c r="U110" s="28" t="n">
        <v>3.45646682978244</v>
      </c>
    </row>
    <row r="111" ht="15" customHeight="1">
      <c r="A111" s="25" t="inlineStr">
        <is>
          <t>BSL-AU</t>
        </is>
      </c>
      <c r="B111" s="25" t="inlineStr">
        <is>
          <t>BlueScope Steel Ltd.</t>
        </is>
      </c>
      <c r="C111" s="25" t="inlineStr">
        <is>
          <t>Public</t>
        </is>
      </c>
      <c r="D111" s="25" t="inlineStr">
        <is>
          <t>Australia</t>
        </is>
      </c>
      <c r="E111" s="26" t="n">
        <v>1921</v>
      </c>
      <c r="F111" s="27" t="n">
        <v>16500</v>
      </c>
      <c r="G111" s="28" t="n">
        <v>16294.4</v>
      </c>
      <c r="H111" s="25" t="inlineStr">
        <is>
          <t>Pacific</t>
        </is>
      </c>
      <c r="I111" s="25" t="inlineStr">
        <is>
          <t>Victoria (VIC)</t>
        </is>
      </c>
      <c r="J111" s="28" t="n">
        <v>15781.0003889468</v>
      </c>
      <c r="K111" s="25" t="inlineStr">
        <is>
          <t>BlueScope Steel Ltd. engages in the manufacture of steel products. It operates through the following segments: Australian Steel Products, North Star BlueScope Steel, Buildings and Coated Products North America, Coated Products Asia, and New Zealand and Pacific Islands. The Australian Steel Products segment produces and markets coated and painted flat steel products. The North Star BlueScope Steel segment is a single site electric arc furnace producer of hot rolled coil. The Buildings and Coated Products North America segment includes engineered building solutions and servicing the low-rise non-residential construction needs of customers. The Coated Products Asia segment offers metal coated and painted steel building products. The New Zealand and Pacific Islands segment consists of New Zealand Steel, Pacific Steel, and BlueScope Pacific Islands business areas. The company was founded on July 15, 2002 and is headquartered in Melbourne, Australia.</t>
        </is>
      </c>
      <c r="L111" s="25" t="inlineStr">
        <is>
          <t>Primary Metals Products</t>
        </is>
      </c>
      <c r="M111" s="25" t="inlineStr">
        <is>
          <t>Metal Products</t>
        </is>
      </c>
      <c r="N111" s="25" t="inlineStr">
        <is>
          <t>Mining and Mineral Products</t>
        </is>
      </c>
      <c r="O111" s="30" t="inlineStr">
        <is>
          <t>Diversified Primary Metals Processors</t>
        </is>
      </c>
      <c r="P111" s="28" t="n">
        <v>1832.89999999999</v>
      </c>
      <c r="Q111" s="28" t="n">
        <v>1304.79999231285</v>
      </c>
      <c r="R111" s="28" t="n">
        <v>74.1999999999999</v>
      </c>
      <c r="S111" s="28" t="n">
        <v>8.00765907305578</v>
      </c>
      <c r="T111" s="28" t="n">
        <v>11.2486498428908</v>
      </c>
      <c r="U111" s="28" t="n">
        <v>0.455371170463472</v>
      </c>
    </row>
    <row r="112" ht="15" customHeight="1">
      <c r="A112" s="25" t="inlineStr">
        <is>
          <t>CMW-AU</t>
        </is>
      </c>
      <c r="B112" s="25" t="inlineStr">
        <is>
          <t>Cromwell Property Group</t>
        </is>
      </c>
      <c r="C112" s="25" t="inlineStr">
        <is>
          <t>Public</t>
        </is>
      </c>
      <c r="D112" s="25" t="inlineStr">
        <is>
          <t>Australia</t>
        </is>
      </c>
      <c r="E112" s="26" t="n">
        <v>1970</v>
      </c>
      <c r="F112" s="27" t="n">
        <v>350</v>
      </c>
      <c r="G112" s="28" t="n">
        <v>177.399999999999</v>
      </c>
      <c r="H112" s="25" t="inlineStr">
        <is>
          <t>Pacific</t>
        </is>
      </c>
      <c r="I112" s="25" t="inlineStr">
        <is>
          <t>Queensland (QLD)</t>
        </is>
      </c>
      <c r="J112" s="28" t="n">
        <v>2270.40005595745</v>
      </c>
      <c r="K112" s="25" t="inlineStr">
        <is>
          <t>Cromwell Property Group is a real estate investment trust, which engages in the property investment and funds management business. It operates through the following segments: Funds and Asset Management, Co-Investments, and Investment Portfolio. The Funds and Asset Management segment represents activities in relation to the establishment and management of external funds for institutional and retail investors. The Co-Investments segment includes Cromwell's investments in assets warehoused whilst being repositioned for deployment into the fund and asset management business and assets it may not fully own or over which it cannot exercise unilateral control. The Investment Portfolio segment consists of the ownership of investment properties located in Australia. The company was founded in 1970 and is headquartered in Brisbane, Australia.</t>
        </is>
      </c>
      <c r="L112" s="25" t="inlineStr">
        <is>
          <t>Equity REITs</t>
        </is>
      </c>
      <c r="M112" s="25" t="inlineStr">
        <is>
          <t>Real Estate Investment Trusts (REITs)</t>
        </is>
      </c>
      <c r="N112" s="25" t="inlineStr">
        <is>
          <t>Real Estate</t>
        </is>
      </c>
      <c r="O112" s="30" t="inlineStr">
        <is>
          <t>Equity REITs</t>
        </is>
      </c>
      <c r="P112" s="28" t="n">
        <v>142.2</v>
      </c>
      <c r="Q112" s="28" t="n">
        <v>103.699994438931</v>
      </c>
      <c r="R112" s="28" t="n">
        <v>-142</v>
      </c>
      <c r="S112" s="28" t="n">
        <v>58.4554678692221</v>
      </c>
      <c r="T112" s="28" t="n">
        <v>80.15783540022549</v>
      </c>
      <c r="U112" s="28" t="n">
        <v>-80.04509582863589</v>
      </c>
    </row>
    <row r="113" ht="15" customHeight="1">
      <c r="A113" s="25" t="inlineStr">
        <is>
          <t>NOU-AU</t>
        </is>
      </c>
      <c r="B113" s="25" t="inlineStr">
        <is>
          <t>Noumi Ltd.</t>
        </is>
      </c>
      <c r="C113" s="25" t="inlineStr">
        <is>
          <t>Public</t>
        </is>
      </c>
      <c r="D113" s="25" t="inlineStr">
        <is>
          <t>Australia</t>
        </is>
      </c>
      <c r="E113" s="26" t="n">
        <v>1984</v>
      </c>
      <c r="F113" s="27" t="n">
        <v>500</v>
      </c>
      <c r="G113" s="28" t="n">
        <v>595.835</v>
      </c>
      <c r="H113" s="25" t="inlineStr">
        <is>
          <t>Pacific</t>
        </is>
      </c>
      <c r="I113" s="25" t="inlineStr">
        <is>
          <t>New South Wales (NSW)</t>
        </is>
      </c>
      <c r="J113" s="28" t="n">
        <v>265.174006535615</v>
      </c>
      <c r="K113" s="25" t="inlineStr">
        <is>
          <t>Noumi Ltd. engages in the manufacture and sale of food products. It operates through the Dairy and Nutritionals and Plant Based Milks segments. The Dairy and Nutritionals segment include dairy milk beverage, nutritional products, and performance and adult nutritional powders. The Plant Based Milks segment refers to the liquid stocks, soy, rice, and almond beverages. The company was founded in 1990 and is headquartered in Ingleburn, Australia.</t>
        </is>
      </c>
      <c r="L113" s="25" t="inlineStr">
        <is>
          <t>Food Production</t>
        </is>
      </c>
      <c r="M113" s="25" t="inlineStr">
        <is>
          <t>Food and Beverage Production</t>
        </is>
      </c>
      <c r="N113" s="25" t="inlineStr">
        <is>
          <t>Food and Tobacco Production</t>
        </is>
      </c>
      <c r="O113" s="30" t="inlineStr">
        <is>
          <t>Dairy and Dairy Alternative Production</t>
        </is>
      </c>
      <c r="P113" s="28" t="n">
        <v>161.1</v>
      </c>
      <c r="Q113" s="28" t="n">
        <v>58.5759956217158</v>
      </c>
      <c r="R113" s="28" t="n">
        <v>-150.004</v>
      </c>
      <c r="S113" s="28" t="n">
        <v>9.83090956388933</v>
      </c>
      <c r="T113" s="28" t="n">
        <v>27.0376866078696</v>
      </c>
      <c r="U113" s="28" t="n">
        <v>-25.1754260827242</v>
      </c>
    </row>
    <row r="114" ht="15" customHeight="1">
      <c r="A114" s="25" t="inlineStr">
        <is>
          <t>GRR-AU</t>
        </is>
      </c>
      <c r="B114" s="25" t="inlineStr">
        <is>
          <t>Grange Resources Ltd.</t>
        </is>
      </c>
      <c r="C114" s="25" t="inlineStr">
        <is>
          <t>Public</t>
        </is>
      </c>
      <c r="D114" s="25" t="inlineStr">
        <is>
          <t>Australia</t>
        </is>
      </c>
      <c r="E114" s="26" t="n">
        <v>1985</v>
      </c>
      <c r="F114" s="27" t="inlineStr">
        <is>
          <t>-</t>
        </is>
      </c>
      <c r="G114" s="28" t="n">
        <v>520.804999999999</v>
      </c>
      <c r="H114" s="25" t="inlineStr">
        <is>
          <t>Pacific</t>
        </is>
      </c>
      <c r="I114" s="25" t="inlineStr">
        <is>
          <t>Tasmania (TAS)</t>
        </is>
      </c>
      <c r="J114" s="28" t="n">
        <v>1344.09095830864</v>
      </c>
      <c r="K114" s="25" t="inlineStr">
        <is>
          <t>Grange Resources Ltd. engages in the mining, processing, exploration, evaluation, and development of mineral resources and iron ore. It operates through the Ore Mining and Property Development segments. The company was founded on May 23, 1985, and is headquartered in Burnie, Australia.</t>
        </is>
      </c>
      <c r="L114" s="25" t="inlineStr">
        <is>
          <t>Base Metal Mining</t>
        </is>
      </c>
      <c r="M114" s="25" t="inlineStr">
        <is>
          <t>Metal Ore Mining</t>
        </is>
      </c>
      <c r="N114" s="25" t="inlineStr">
        <is>
          <t>Mining and Mineral Products</t>
        </is>
      </c>
      <c r="O114" s="30" t="inlineStr">
        <is>
          <t>Other Base Metal Ore Mining</t>
        </is>
      </c>
      <c r="P114" s="28" t="n">
        <v>61.3189999999999</v>
      </c>
      <c r="Q114" s="28" t="n">
        <v>218.292004539604</v>
      </c>
      <c r="R114" s="28" t="n">
        <v>58.549</v>
      </c>
      <c r="S114" s="28" t="n">
        <v>41.9143441403212</v>
      </c>
      <c r="T114" s="28" t="n">
        <v>11.7738884995344</v>
      </c>
      <c r="U114" s="28" t="n">
        <v>11.2420195658644</v>
      </c>
    </row>
    <row r="115" ht="15" customHeight="1">
      <c r="A115" s="25" t="inlineStr">
        <is>
          <t>WGX-AU</t>
        </is>
      </c>
      <c r="B115" s="25" t="inlineStr">
        <is>
          <t>Westgold Resources Ltd.</t>
        </is>
      </c>
      <c r="C115" s="25" t="inlineStr">
        <is>
          <t>Public</t>
        </is>
      </c>
      <c r="D115" s="25" t="inlineStr">
        <is>
          <t>Australia</t>
        </is>
      </c>
      <c r="E115" s="26" t="n">
        <v>1987</v>
      </c>
      <c r="F115" s="27" t="n">
        <v>1572</v>
      </c>
      <c r="G115" s="28" t="n">
        <v>1360.299</v>
      </c>
      <c r="H115" s="25" t="inlineStr">
        <is>
          <t>Pacific</t>
        </is>
      </c>
      <c r="I115" s="25" t="inlineStr">
        <is>
          <t>Western Australia (WA)</t>
        </is>
      </c>
      <c r="J115" s="28" t="n">
        <v>3205.01007899233</v>
      </c>
      <c r="K115" s="25" t="inlineStr">
        <is>
          <t>Westgold Resources Ltd. engages in the exploration of mineral properties. It focuses on exploring gold, copper, and lead-zinc deposits. The company operates through the following geographical segments: Bryah, Murchison, and Other. The Bryah segment consists of mining, treatment, exploration, and development of gold assets in Bryah. The Murchison segment consists of mining, treatment, exploration, and development of gold assets in Murchison. The Other segment refers to exploration and development of other mineral assets and contract mining services. Westgold Resources was founded on July 27,1987 and is headquartered in West Perth, Australia.</t>
        </is>
      </c>
      <c r="L115" s="25" t="inlineStr">
        <is>
          <t>Precious Metal Mining</t>
        </is>
      </c>
      <c r="M115" s="25" t="inlineStr">
        <is>
          <t>Metal Ore Mining</t>
        </is>
      </c>
      <c r="N115" s="25" t="inlineStr">
        <is>
          <t>Mining and Mineral Products</t>
        </is>
      </c>
      <c r="O115" s="30" t="inlineStr">
        <is>
          <t>Asia/Pacific Gold Mining</t>
        </is>
      </c>
      <c r="P115" s="28" t="n">
        <v>229.585</v>
      </c>
      <c r="Q115" s="28" t="n">
        <v>505.553988853627</v>
      </c>
      <c r="R115" s="28" t="n">
        <v>34.753</v>
      </c>
      <c r="S115" s="28" t="n">
        <v>37.164917418891</v>
      </c>
      <c r="T115" s="28" t="n">
        <v>16.877539423318</v>
      </c>
      <c r="U115" s="28" t="n">
        <v>2.55480596545318</v>
      </c>
    </row>
    <row r="116" ht="15" customHeight="1">
      <c r="A116" s="25" t="inlineStr">
        <is>
          <t>PDN-AU</t>
        </is>
      </c>
      <c r="B116" s="25" t="inlineStr">
        <is>
          <t>Paladin Energy Ltd.</t>
        </is>
      </c>
      <c r="C116" s="25" t="inlineStr">
        <is>
          <t>Public</t>
        </is>
      </c>
      <c r="D116" s="25" t="inlineStr">
        <is>
          <t>Australia</t>
        </is>
      </c>
      <c r="E116" s="26" t="n">
        <v>1993</v>
      </c>
      <c r="F116" s="27" t="inlineStr">
        <is>
          <t>-</t>
        </is>
      </c>
      <c r="G116" s="28" t="n">
        <v>274.347588220613</v>
      </c>
      <c r="H116" s="25" t="inlineStr">
        <is>
          <t>Pacific</t>
        </is>
      </c>
      <c r="I116" s="25" t="inlineStr">
        <is>
          <t>Western Australia (WA)</t>
        </is>
      </c>
      <c r="J116" s="28" t="n">
        <v>1717.98890326732</v>
      </c>
      <c r="K116" s="25" t="inlineStr">
        <is>
          <t>Paladin Energy Ltd. engages in the development and operation of uranium mines. It operates through the following segments: Namibia, Canada, and Australia. The Namibia segment is involved in the production and sale of uranium from the Langer Heinrich Mine (LHM). The Australia segment includes the exploration and evaluation projects in Australia. The company was founded by John Borshoff on September 24, 1993 and is headquartered in Perth, Australia.</t>
        </is>
      </c>
      <c r="L116" s="25" t="inlineStr">
        <is>
          <t>Uranium Mining</t>
        </is>
      </c>
      <c r="M116" s="25" t="inlineStr">
        <is>
          <t>Coal and Uranium Mining</t>
        </is>
      </c>
      <c r="N116" s="25" t="inlineStr">
        <is>
          <t>Upstream Energy</t>
        </is>
      </c>
      <c r="O116" s="30" t="inlineStr">
        <is>
          <t>Uranium Mining</t>
        </is>
      </c>
      <c r="P116" s="28" t="n">
        <v>-27.6005939994348</v>
      </c>
      <c r="Q116" s="28" t="n">
        <v>-50.8885469334472</v>
      </c>
      <c r="R116" s="28" t="n">
        <v>-68.9265966736079</v>
      </c>
      <c r="S116" s="28" t="n">
        <v>-18.5489292361042</v>
      </c>
      <c r="T116" s="28" t="n">
        <v>-10.0604471059684</v>
      </c>
      <c r="U116" s="28" t="n">
        <v>-25.1238208874581</v>
      </c>
    </row>
    <row r="117" ht="15" customHeight="1">
      <c r="A117" s="25" t="inlineStr">
        <is>
          <t>RRL-AU</t>
        </is>
      </c>
      <c r="B117" s="25" t="inlineStr">
        <is>
          <t>Regis Resources Ltd.</t>
        </is>
      </c>
      <c r="C117" s="25" t="inlineStr">
        <is>
          <t>Public</t>
        </is>
      </c>
      <c r="D117" s="25" t="inlineStr">
        <is>
          <t>Australia</t>
        </is>
      </c>
      <c r="E117" s="26" t="n">
        <v>1986</v>
      </c>
      <c r="F117" s="27" t="n">
        <v>1104</v>
      </c>
      <c r="G117" s="28" t="n">
        <v>1647.41199999999</v>
      </c>
      <c r="H117" s="25" t="inlineStr">
        <is>
          <t>Pacific</t>
        </is>
      </c>
      <c r="I117" s="25" t="inlineStr">
        <is>
          <t>Western Australia (WA)</t>
        </is>
      </c>
      <c r="J117" s="28" t="n">
        <v>2382.19005871269</v>
      </c>
      <c r="K117" s="25" t="inlineStr">
        <is>
          <t>Regis Resources Ltd. is a mineral exploration and production company, which engages in the exploration, evaluation and development of gold projects. It operates through the Duketon and Tropicana segments. The company was founded on May 12, 1986 and is headquartered in Subiaco, Australia.</t>
        </is>
      </c>
      <c r="L117" s="25" t="inlineStr">
        <is>
          <t>Precious Metal Mining</t>
        </is>
      </c>
      <c r="M117" s="25" t="inlineStr">
        <is>
          <t>Metal Ore Mining</t>
        </is>
      </c>
      <c r="N117" s="25" t="inlineStr">
        <is>
          <t>Mining and Mineral Products</t>
        </is>
      </c>
      <c r="O117" s="30" t="inlineStr">
        <is>
          <t>Asia/Pacific Gold Mining</t>
        </is>
      </c>
      <c r="P117" s="28" t="n">
        <v>392.078999999999</v>
      </c>
      <c r="Q117" s="28" t="n">
        <v>766.897999205789</v>
      </c>
      <c r="R117" s="28" t="n">
        <v>254.356</v>
      </c>
      <c r="S117" s="28" t="n">
        <v>46.5516822749865</v>
      </c>
      <c r="T117" s="28" t="n">
        <v>23.7996930943808</v>
      </c>
      <c r="U117" s="28" t="n">
        <v>15.4397321374374</v>
      </c>
    </row>
    <row r="118" ht="15" customHeight="1">
      <c r="A118" s="25" t="inlineStr">
        <is>
          <t>AXI-AU</t>
        </is>
      </c>
      <c r="B118" s="25" t="inlineStr">
        <is>
          <t>Axiom Properties Ltd.</t>
        </is>
      </c>
      <c r="C118" s="25" t="inlineStr">
        <is>
          <t>Public</t>
        </is>
      </c>
      <c r="D118" s="25" t="inlineStr">
        <is>
          <t>Australia</t>
        </is>
      </c>
      <c r="E118" s="26" t="n">
        <v>1983</v>
      </c>
      <c r="F118" s="27" t="n">
        <v>900</v>
      </c>
      <c r="G118" s="28" t="n">
        <v>4.27499999999999</v>
      </c>
      <c r="H118" s="25" t="inlineStr">
        <is>
          <t>Pacific</t>
        </is>
      </c>
      <c r="I118" s="25" t="inlineStr">
        <is>
          <t>South Australia (SA)</t>
        </is>
      </c>
      <c r="J118" s="28" t="n">
        <v>15.3230003776586</v>
      </c>
      <c r="K118" s="25" t="inlineStr">
        <is>
          <t>Axiom Properties Ltd. engages in the development of commercial and industrial properties. It operates through Investment Property and Development segments. The company was founded on April 12, 1983 and is headquartered in Adelaide, Australia.</t>
        </is>
      </c>
      <c r="L118" s="25" t="inlineStr">
        <is>
          <t>Other Real Estate Investment and Services</t>
        </is>
      </c>
      <c r="M118" s="25" t="inlineStr">
        <is>
          <t>Real Estate Investment and Services</t>
        </is>
      </c>
      <c r="N118" s="25" t="inlineStr">
        <is>
          <t>Real Estate</t>
        </is>
      </c>
      <c r="O118" s="30" t="inlineStr">
        <is>
          <t>Real Estate Developers</t>
        </is>
      </c>
      <c r="P118" s="28" t="n">
        <v>1.71</v>
      </c>
      <c r="Q118" s="28" t="n">
        <v>-2.57899950329583</v>
      </c>
      <c r="R118" s="28" t="n">
        <v>-2.247</v>
      </c>
      <c r="S118" s="28" t="n">
        <v>-60.327485380117</v>
      </c>
      <c r="T118" s="28" t="n">
        <v>40</v>
      </c>
      <c r="U118" s="28" t="n">
        <v>-52.5614035087719</v>
      </c>
    </row>
    <row r="119" ht="15" customHeight="1">
      <c r="A119" s="25" t="inlineStr">
        <is>
          <t>FMG-AU</t>
        </is>
      </c>
      <c r="B119" s="25" t="inlineStr">
        <is>
          <t>Fortescue Ltd.</t>
        </is>
      </c>
      <c r="C119" s="25" t="inlineStr">
        <is>
          <t>Public</t>
        </is>
      </c>
      <c r="D119" s="25" t="inlineStr">
        <is>
          <t>Australia</t>
        </is>
      </c>
      <c r="E119" s="26" t="n">
        <v>1983</v>
      </c>
      <c r="F119" s="27" t="inlineStr">
        <is>
          <t>-</t>
        </is>
      </c>
      <c r="G119" s="28" t="n">
        <v>23996.689865466</v>
      </c>
      <c r="H119" s="25" t="inlineStr">
        <is>
          <t>Pacific</t>
        </is>
      </c>
      <c r="I119" s="25" t="inlineStr">
        <is>
          <t>Western Australia (WA)</t>
        </is>
      </c>
      <c r="J119" s="28" t="n">
        <v>47844.6643365982</v>
      </c>
      <c r="K119" s="25" t="inlineStr">
        <is>
          <t>Fortescue Ltd. engages in the development of iron ore deposits. It operates through the Metals and Energy segments. The Metals segment includes exploration, development, production, processing, sale, and transportation of iron ore, and the exploration for other minerals. The Energy segment is involved in the development of green electricity, green hydrogen, and green ammonia projects. The company was founded by John Andrew Henry Forrest in April 2003 and is headquartered in East Perth, Australia.</t>
        </is>
      </c>
      <c r="L119" s="25" t="inlineStr">
        <is>
          <t>Base Metal Mining</t>
        </is>
      </c>
      <c r="M119" s="25" t="inlineStr">
        <is>
          <t>Metal Ore Mining</t>
        </is>
      </c>
      <c r="N119" s="25" t="inlineStr">
        <is>
          <t>Mining and Mineral Products</t>
        </is>
      </c>
      <c r="O119" s="30" t="inlineStr">
        <is>
          <t>Other Base Metal Ore Mining</t>
        </is>
      </c>
      <c r="P119" s="28" t="n">
        <v>9443.64939303714</v>
      </c>
      <c r="Q119" s="28" t="n">
        <v>11793.7531170212</v>
      </c>
      <c r="R119" s="28" t="n">
        <v>5208.21278657853</v>
      </c>
      <c r="S119" s="28" t="n">
        <v>49.1474165233619</v>
      </c>
      <c r="T119" s="28" t="n">
        <v>39.3539669261951</v>
      </c>
      <c r="U119" s="28" t="n">
        <v>21.7038800591982</v>
      </c>
    </row>
    <row r="120" ht="15" customHeight="1">
      <c r="A120" s="25" t="inlineStr">
        <is>
          <t>AGI-AU</t>
        </is>
      </c>
      <c r="B120" s="25" t="inlineStr">
        <is>
          <t>Ainsworth Game Technology Ltd.</t>
        </is>
      </c>
      <c r="C120" s="25" t="inlineStr">
        <is>
          <t>Public</t>
        </is>
      </c>
      <c r="D120" s="25" t="inlineStr">
        <is>
          <t>Australia</t>
        </is>
      </c>
      <c r="E120" s="26" t="n">
        <v>1995</v>
      </c>
      <c r="F120" s="27" t="n">
        <v>542</v>
      </c>
      <c r="G120" s="28" t="n">
        <v>264.064</v>
      </c>
      <c r="H120" s="25" t="inlineStr">
        <is>
          <t>Pacific</t>
        </is>
      </c>
      <c r="I120" s="25" t="inlineStr">
        <is>
          <t>New South Wales (NSW)</t>
        </is>
      </c>
      <c r="J120" s="28" t="n">
        <v>460.547985714603</v>
      </c>
      <c r="K120" s="25" t="inlineStr">
        <is>
          <t>Ainsworth Game Technology Ltd. engages in the design, development, manufacture, sales, and distribution of gaming content and platforms including electronic gaming machines, other related equipment, and services. It operates through the following geographical segments: Australia and Other, Nort America, and Latin America. The company was founded by Leonard Hastings Ainsworth on March 7, 1995 and is headquartered in Newington, Australia.</t>
        </is>
      </c>
      <c r="L120" s="25" t="inlineStr">
        <is>
          <t>Arts, Entertainment and Recreation Providers</t>
        </is>
      </c>
      <c r="M120" s="25" t="inlineStr">
        <is>
          <t>Hospitality Services</t>
        </is>
      </c>
      <c r="N120" s="25" t="inlineStr">
        <is>
          <t>Hospitality Services</t>
        </is>
      </c>
      <c r="O120" s="30" t="inlineStr">
        <is>
          <t>Gaming Industries</t>
        </is>
      </c>
      <c r="P120" s="28" t="n">
        <v>160.252</v>
      </c>
      <c r="Q120" s="28" t="n">
        <v>51.2120048117797</v>
      </c>
      <c r="R120" s="28" t="n">
        <v>30.3189999999999</v>
      </c>
      <c r="S120" s="28" t="n">
        <v>19.3937833252545</v>
      </c>
      <c r="T120" s="28" t="n">
        <v>60.6868031992244</v>
      </c>
      <c r="U120" s="28" t="n">
        <v>11.4816862578769</v>
      </c>
    </row>
    <row r="121" ht="15" customHeight="1">
      <c r="A121" s="25" t="inlineStr">
        <is>
          <t>SKS-AU</t>
        </is>
      </c>
      <c r="B121" s="25" t="inlineStr">
        <is>
          <t>SKS Technologies Group Ltd.</t>
        </is>
      </c>
      <c r="C121" s="25" t="inlineStr">
        <is>
          <t>Public</t>
        </is>
      </c>
      <c r="D121" s="25" t="inlineStr">
        <is>
          <t>Australia</t>
        </is>
      </c>
      <c r="E121" s="26" t="n">
        <v>1962</v>
      </c>
      <c r="F121" s="27" t="n">
        <v>801</v>
      </c>
      <c r="G121" s="28" t="n">
        <v>261.655008</v>
      </c>
      <c r="H121" s="25" t="inlineStr">
        <is>
          <t>Pacific</t>
        </is>
      </c>
      <c r="I121" s="25" t="inlineStr">
        <is>
          <t>Victoria (VIC)</t>
        </is>
      </c>
      <c r="J121" s="28" t="n">
        <v>112.624725775807</v>
      </c>
      <c r="K121" s="25" t="inlineStr">
        <is>
          <t>SKS Technologies Group Ltd. engages in the development and distribution of technology products. It provides audiovisual products and solutions and electrical and communications cabling for the commercial, retail, health, defense, and education market. The company was founded in 1962 and is headquartered in West Melbourne, Australia.</t>
        </is>
      </c>
      <c r="L121" s="25" t="inlineStr">
        <is>
          <t>Other Electrical Equipment/Power Systems Makers</t>
        </is>
      </c>
      <c r="M121" s="25" t="inlineStr">
        <is>
          <t>Electrical Equipment and Power Systems</t>
        </is>
      </c>
      <c r="N121" s="25" t="inlineStr">
        <is>
          <t>Industrial Manufacturing</t>
        </is>
      </c>
      <c r="O121" s="30" t="inlineStr">
        <is>
          <t>Lighting Equipment and Component Manufacturing</t>
        </is>
      </c>
      <c r="P121" s="28" t="n">
        <v>25.4397049999999</v>
      </c>
      <c r="Q121" s="28" t="n">
        <v>22.6976322017211</v>
      </c>
      <c r="R121" s="28" t="n">
        <v>14.029009</v>
      </c>
      <c r="S121" s="28" t="n">
        <v>8.6746438271879</v>
      </c>
      <c r="T121" s="28" t="n">
        <v>9.722613449844619</v>
      </c>
      <c r="U121" s="28" t="n">
        <v>5.36164360362634</v>
      </c>
    </row>
    <row r="122" ht="15" customHeight="1">
      <c r="A122" s="25" t="inlineStr">
        <is>
          <t>AAC-AU</t>
        </is>
      </c>
      <c r="B122" s="25" t="inlineStr">
        <is>
          <t>Australian Agricultural Co. Ltd.</t>
        </is>
      </c>
      <c r="C122" s="25" t="inlineStr">
        <is>
          <t>Public</t>
        </is>
      </c>
      <c r="D122" s="25" t="inlineStr">
        <is>
          <t>Australia</t>
        </is>
      </c>
      <c r="E122" s="26" t="n">
        <v>1989</v>
      </c>
      <c r="F122" s="27" t="n">
        <v>500</v>
      </c>
      <c r="G122" s="28" t="n">
        <v>387.895999999999</v>
      </c>
      <c r="H122" s="25" t="inlineStr">
        <is>
          <t>Pacific</t>
        </is>
      </c>
      <c r="I122" s="25" t="inlineStr">
        <is>
          <t>Queensland (QLD)</t>
        </is>
      </c>
      <c r="J122" s="28" t="n">
        <v>2492.00803569303</v>
      </c>
      <c r="K122" s="25" t="inlineStr">
        <is>
          <t>Australian Agricultural Co. Ltd. operates as a cattle and beef producer. the firm engages in the production of grass fed beef, grain fed beef, and Wagyu beef. It operates through the Livingstone Beef Processing Plant and AACo Excluding Livingstone segments. The company was founded in 1824 and is headquartered in Brisbane, Australia.</t>
        </is>
      </c>
      <c r="L122" s="25" t="inlineStr">
        <is>
          <t>Food Production</t>
        </is>
      </c>
      <c r="M122" s="25" t="inlineStr">
        <is>
          <t>Food and Beverage Production</t>
        </is>
      </c>
      <c r="N122" s="25" t="inlineStr">
        <is>
          <t>Food and Tobacco Production</t>
        </is>
      </c>
      <c r="O122" s="30" t="inlineStr">
        <is>
          <t>Meat and Seafood Production</t>
        </is>
      </c>
      <c r="P122" s="28" t="n">
        <v>-142.096999999999</v>
      </c>
      <c r="Q122" s="28" t="n">
        <v>-173.421998341988</v>
      </c>
      <c r="R122" s="28" t="n">
        <v>-1.05299999999999</v>
      </c>
      <c r="S122" s="28" t="n">
        <v>-44.7083754408398</v>
      </c>
      <c r="T122" s="28" t="n">
        <v>-36.6327572338977</v>
      </c>
      <c r="U122" s="28" t="n">
        <v>-0.271464516262091</v>
      </c>
    </row>
    <row r="123" ht="15" customHeight="1">
      <c r="A123" s="25" t="inlineStr">
        <is>
          <t>LAU-AU</t>
        </is>
      </c>
      <c r="B123" s="25" t="inlineStr">
        <is>
          <t>Lindsay Australia Ltd.</t>
        </is>
      </c>
      <c r="C123" s="25" t="inlineStr">
        <is>
          <t>Public</t>
        </is>
      </c>
      <c r="D123" s="25" t="inlineStr">
        <is>
          <t>Australia</t>
        </is>
      </c>
      <c r="E123" s="26" t="n">
        <v>1993</v>
      </c>
      <c r="F123" s="27" t="n">
        <v>1950</v>
      </c>
      <c r="G123" s="28" t="n">
        <v>849.784</v>
      </c>
      <c r="H123" s="25" t="inlineStr">
        <is>
          <t>Pacific</t>
        </is>
      </c>
      <c r="I123" s="25" t="inlineStr">
        <is>
          <t>Queensland (QLD)</t>
        </is>
      </c>
      <c r="J123" s="28" t="n">
        <v>635.139015653965</v>
      </c>
      <c r="K123" s="25" t="inlineStr">
        <is>
          <t>Lindsay Australia Ltd. engages in the provision of transport, logistics, and rural supply services. It operates through the Transport and Rural segments. The Transport segment comprises of the business of cartage of general and refrigerated products; and ancillary sales. The Rural segment sells and distributes agricultural supply products. The company was founded in 1953 and is headquartered in Brisbane, Australia.</t>
        </is>
      </c>
      <c r="L123" s="25" t="inlineStr">
        <is>
          <t>Road and Rail Transportation Operators</t>
        </is>
      </c>
      <c r="M123" s="25" t="inlineStr">
        <is>
          <t>Cargo Transportation and Infrastructure Services</t>
        </is>
      </c>
      <c r="N123" s="25" t="inlineStr">
        <is>
          <t>Industrial Services</t>
        </is>
      </c>
      <c r="O123" s="30" t="inlineStr">
        <is>
          <t>Road Transportation</t>
        </is>
      </c>
      <c r="P123" s="28" t="n">
        <v>94.76300000000001</v>
      </c>
      <c r="Q123" s="28" t="n">
        <v>91.7359900494984</v>
      </c>
      <c r="R123" s="28" t="n">
        <v>17.3899999999999</v>
      </c>
      <c r="S123" s="28" t="n">
        <v>10.7952138425765</v>
      </c>
      <c r="T123" s="28" t="n">
        <v>11.1514220084163</v>
      </c>
      <c r="U123" s="28" t="n">
        <v>2.04640237989889</v>
      </c>
    </row>
    <row r="124" ht="15" customHeight="1">
      <c r="A124" s="25" t="inlineStr">
        <is>
          <t>IFL-AU</t>
        </is>
      </c>
      <c r="B124" s="25" t="inlineStr">
        <is>
          <t>Insignia Financial Ltd.</t>
        </is>
      </c>
      <c r="C124" s="25" t="inlineStr">
        <is>
          <t>Public</t>
        </is>
      </c>
      <c r="D124" s="25" t="inlineStr">
        <is>
          <t>Australia</t>
        </is>
      </c>
      <c r="E124" s="26" t="n">
        <v>2002</v>
      </c>
      <c r="F124" s="27" t="inlineStr">
        <is>
          <t>-</t>
        </is>
      </c>
      <c r="G124" s="28" t="n">
        <v>1629</v>
      </c>
      <c r="H124" s="25" t="inlineStr">
        <is>
          <t>Pacific</t>
        </is>
      </c>
      <c r="I124" s="25" t="inlineStr">
        <is>
          <t>Victoria (VIC)</t>
        </is>
      </c>
      <c r="J124" s="28" t="n">
        <v>3978.90009806603</v>
      </c>
      <c r="K124" s="25" t="inlineStr">
        <is>
          <t>Insignia Financial Ltd. engages in the provision of financial products and services. It operates through the following segments: Advice, Master Trust, Wrap, Asset Management, and Corporate. The Advice segment includes the Group’s employed advice businesses, Bridges, and Shadforth. The Master Trust segment offers several award-winning solutions used by many of Australia’s largest employers and independent advisers. The Wrap segment refers to the strong and contemporary technology platform and remains committed to investing in technology and services to support the changing needs of advisers and their clients. The Asset Management segment offers investment management services to institutional, retail, and direct clients. The Corporate segment comprises group functions required to support the Group and operating segments. The company was founded in 1846 and is headquartered in Docklands, Australia.</t>
        </is>
      </c>
      <c r="L124" s="25" t="inlineStr">
        <is>
          <t>Asset Management and Financial Advisory Services</t>
        </is>
      </c>
      <c r="M124" s="25" t="inlineStr">
        <is>
          <t>Investment Services</t>
        </is>
      </c>
      <c r="N124" s="25" t="inlineStr">
        <is>
          <t>Investment Services</t>
        </is>
      </c>
      <c r="O124" s="30" t="inlineStr">
        <is>
          <t>Alternative Investment Managers</t>
        </is>
      </c>
      <c r="P124" s="28" t="n">
        <v>1240.3</v>
      </c>
      <c r="Q124" s="28" t="n">
        <v>360.299991533154</v>
      </c>
      <c r="R124" s="28" t="n">
        <v>16.0999999999999</v>
      </c>
      <c r="S124" s="28" t="n">
        <v>22.1178637200737</v>
      </c>
      <c r="T124" s="28" t="n">
        <v>76.13873542050339</v>
      </c>
      <c r="U124" s="28" t="n">
        <v>0.9883364027010439</v>
      </c>
    </row>
    <row r="125" ht="15" customHeight="1">
      <c r="A125" s="25" t="inlineStr">
        <is>
          <t>BWP-AU</t>
        </is>
      </c>
      <c r="B125" s="25" t="inlineStr">
        <is>
          <t>BWP Trust</t>
        </is>
      </c>
      <c r="C125" s="25" t="inlineStr">
        <is>
          <t>Public</t>
        </is>
      </c>
      <c r="D125" s="25" t="inlineStr">
        <is>
          <t>Australia</t>
        </is>
      </c>
      <c r="E125" s="26" t="n">
        <v>1999</v>
      </c>
      <c r="F125" s="27" t="inlineStr">
        <is>
          <t>-</t>
        </is>
      </c>
      <c r="G125" s="28" t="n">
        <v>203.302</v>
      </c>
      <c r="H125" s="25" t="inlineStr">
        <is>
          <t>Pacific</t>
        </is>
      </c>
      <c r="I125" s="25" t="inlineStr">
        <is>
          <t>Western Australia (WA)</t>
        </is>
      </c>
      <c r="J125" s="28" t="n">
        <v>3745.92409232399</v>
      </c>
      <c r="K125" s="25" t="inlineStr">
        <is>
          <t>BWP Trust is a real estate investment trust, which invests and manages commercial properties. The company was founded on June 18, 1998 and is headquartered in Perth, Australia.</t>
        </is>
      </c>
      <c r="L125" s="25" t="inlineStr">
        <is>
          <t>Equity REITs</t>
        </is>
      </c>
      <c r="M125" s="25" t="inlineStr">
        <is>
          <t>Real Estate Investment Trusts (REITs)</t>
        </is>
      </c>
      <c r="N125" s="25" t="inlineStr">
        <is>
          <t>Real Estate</t>
        </is>
      </c>
      <c r="O125" s="30" t="inlineStr">
        <is>
          <t>Equity REITs</t>
        </is>
      </c>
      <c r="P125" s="28" t="n">
        <v>165.811999999999</v>
      </c>
      <c r="Q125" s="28" t="n">
        <v>161.471010051155</v>
      </c>
      <c r="R125" s="28" t="n">
        <v>265.576999999999</v>
      </c>
      <c r="S125" s="28" t="n">
        <v>79.42420635311019</v>
      </c>
      <c r="T125" s="28" t="n">
        <v>81.5594534239702</v>
      </c>
      <c r="U125" s="28" t="n">
        <v>130.63176948579</v>
      </c>
    </row>
    <row r="126" ht="15" customHeight="1">
      <c r="A126" s="25" t="inlineStr">
        <is>
          <t>NHC-AU</t>
        </is>
      </c>
      <c r="B126" s="25" t="inlineStr">
        <is>
          <t>New Hope Corp. Ltd.</t>
        </is>
      </c>
      <c r="C126" s="25" t="inlineStr">
        <is>
          <t>Public</t>
        </is>
      </c>
      <c r="D126" s="25" t="inlineStr">
        <is>
          <t>Australia</t>
        </is>
      </c>
      <c r="E126" s="26" t="n">
        <v>1986</v>
      </c>
      <c r="F126" s="27" t="n">
        <v>1361</v>
      </c>
      <c r="G126" s="28" t="n">
        <v>1750.704</v>
      </c>
      <c r="H126" s="25" t="inlineStr">
        <is>
          <t>Pacific</t>
        </is>
      </c>
      <c r="I126" s="25" t="inlineStr">
        <is>
          <t>Queensland (QLD)</t>
        </is>
      </c>
      <c r="J126" s="28" t="n">
        <v>3538.76313138625</v>
      </c>
      <c r="K126" s="25" t="inlineStr">
        <is>
          <t>New Hope Corp. Ltd. engages in the development and operation of coal mines, port handling and logistics, agriculture, and oil and gas development and production. It operates through the following segments: Coal Mining in Queensland, Coal Mining in New South Wales, and Other. The Coal Mining in Queensland segment includes mining related exploration, development, production, processing, transportation, port operations, and marketing. The Coal Mining in New South Wales segment focuses on mining production, processing, transportation, and marketing. The Other segment refers to the coal, and oil and gas exploration, development, production and processing, pastoral operations, and administration. The company was founded in 1986 and is headquartered in Brisbane, Australia.</t>
        </is>
      </c>
      <c r="L126" s="25" t="inlineStr">
        <is>
          <t>Asia/Pacific International Coal Mining</t>
        </is>
      </c>
      <c r="M126" s="25" t="inlineStr">
        <is>
          <t>Coal and Uranium Mining</t>
        </is>
      </c>
      <c r="N126" s="25" t="inlineStr">
        <is>
          <t>Upstream Energy</t>
        </is>
      </c>
      <c r="O126" s="30" t="inlineStr">
        <is>
          <t>Asia/Pacific International Coal Mining</t>
        </is>
      </c>
      <c r="P126" s="28" t="n">
        <v>792.477999999999</v>
      </c>
      <c r="Q126" s="28" t="n">
        <v>718.1560049440779</v>
      </c>
      <c r="R126" s="28" t="n">
        <v>439.368999999999</v>
      </c>
      <c r="S126" s="28" t="n">
        <v>41.0209835586141</v>
      </c>
      <c r="T126" s="28" t="n">
        <v>45.266247178278</v>
      </c>
      <c r="U126" s="28" t="n">
        <v>25.0967039545234</v>
      </c>
    </row>
    <row r="127" ht="15" customHeight="1">
      <c r="A127" s="25" t="inlineStr">
        <is>
          <t>CQR-AU</t>
        </is>
      </c>
      <c r="B127" s="25" t="inlineStr">
        <is>
          <t>Charter Hall Retail REIT</t>
        </is>
      </c>
      <c r="C127" s="25" t="inlineStr">
        <is>
          <t>Public</t>
        </is>
      </c>
      <c r="D127" s="25" t="inlineStr">
        <is>
          <t>Australia</t>
        </is>
      </c>
      <c r="E127" s="26" t="n">
        <v>2000</v>
      </c>
      <c r="F127" s="27" t="inlineStr">
        <is>
          <t>-</t>
        </is>
      </c>
      <c r="G127" s="28" t="n">
        <v>194.7</v>
      </c>
      <c r="H127" s="25" t="inlineStr">
        <is>
          <t>Pacific</t>
        </is>
      </c>
      <c r="I127" s="25" t="inlineStr">
        <is>
          <t>New South Wales (NSW)</t>
        </is>
      </c>
      <c r="J127" s="28" t="n">
        <v>4288.30010569167</v>
      </c>
      <c r="K127" s="25" t="inlineStr">
        <is>
          <t>Charter Hall Retail REIT is a real estate investment trust, which invests in convenience and community-based supermarket anchored shopping centers that aim to provide a secure and growing income stream to unit holders. It operates through Convenience Retail and Long WALE Retail segments. The Convenience Retail segment consists of convenience-based retail shopping center investment properties held directly and through investments in joint venture entities. The Long WALE Retail segment refers to convenience retail investment properties which includes service station and hospitality assets. The company was founded on July 21, 1995 and is headquartered in Sydney, Australia.</t>
        </is>
      </c>
      <c r="L127" s="25" t="inlineStr">
        <is>
          <t>Equity REITs</t>
        </is>
      </c>
      <c r="M127" s="25" t="inlineStr">
        <is>
          <t>Real Estate Investment Trusts (REITs)</t>
        </is>
      </c>
      <c r="N127" s="25" t="inlineStr">
        <is>
          <t>Real Estate</t>
        </is>
      </c>
      <c r="O127" s="30" t="inlineStr">
        <is>
          <t>Equity REITs</t>
        </is>
      </c>
      <c r="P127" s="28" t="n">
        <v>113.499999999999</v>
      </c>
      <c r="Q127" s="28" t="n">
        <v>83.599998896846</v>
      </c>
      <c r="R127" s="28" t="n">
        <v>213.799999999999</v>
      </c>
      <c r="S127" s="28" t="n">
        <v>42.9378531073446</v>
      </c>
      <c r="T127" s="28" t="n">
        <v>58.2948125321007</v>
      </c>
      <c r="U127" s="28" t="n">
        <v>109.809964047252</v>
      </c>
    </row>
    <row r="128" ht="15" customHeight="1">
      <c r="A128" s="25" t="inlineStr">
        <is>
          <t>CDP-AU</t>
        </is>
      </c>
      <c r="B128" s="25" t="inlineStr">
        <is>
          <t>Carindale Property Trust</t>
        </is>
      </c>
      <c r="C128" s="25" t="inlineStr">
        <is>
          <t>Public</t>
        </is>
      </c>
      <c r="D128" s="25" t="inlineStr">
        <is>
          <t>Australia</t>
        </is>
      </c>
      <c r="E128" s="26" t="n">
        <v>2000</v>
      </c>
      <c r="F128" s="27" t="inlineStr">
        <is>
          <t>-</t>
        </is>
      </c>
      <c r="G128" s="28" t="n">
        <v>61.585</v>
      </c>
      <c r="H128" s="25" t="inlineStr">
        <is>
          <t>Pacific</t>
        </is>
      </c>
      <c r="I128" s="25" t="inlineStr">
        <is>
          <t>New South Wales (NSW)</t>
        </is>
      </c>
      <c r="J128" s="28" t="n">
        <v>793.327019552749</v>
      </c>
      <c r="K128" s="25" t="inlineStr">
        <is>
          <t>Carindale Property Trust is a single centre property trust. It engages in the business of owning a shopping centre. The company was founded in 1996 and is headquartered in Sydney, Australia.</t>
        </is>
      </c>
      <c r="L128" s="25" t="inlineStr">
        <is>
          <t>Equity REITs</t>
        </is>
      </c>
      <c r="M128" s="25" t="inlineStr">
        <is>
          <t>Real Estate Investment Trusts (REITs)</t>
        </is>
      </c>
      <c r="N128" s="25" t="inlineStr">
        <is>
          <t>Real Estate</t>
        </is>
      </c>
      <c r="O128" s="30" t="inlineStr">
        <is>
          <t>Equity REITs</t>
        </is>
      </c>
      <c r="P128" s="28" t="n">
        <v>43.44</v>
      </c>
      <c r="Q128" s="28" t="n">
        <v>33.1500041708217</v>
      </c>
      <c r="R128" s="28" t="n">
        <v>39.154</v>
      </c>
      <c r="S128" s="28" t="n">
        <v>53.828042542827</v>
      </c>
      <c r="T128" s="28" t="n">
        <v>70.5366566534059</v>
      </c>
      <c r="U128" s="28" t="n">
        <v>63.5771697653649</v>
      </c>
    </row>
    <row r="129" ht="15" customHeight="1">
      <c r="A129" s="25" t="inlineStr">
        <is>
          <t>WOR-AU</t>
        </is>
      </c>
      <c r="B129" s="25" t="inlineStr">
        <is>
          <t>Worley Ltd.</t>
        </is>
      </c>
      <c r="C129" s="25" t="inlineStr">
        <is>
          <t>Public</t>
        </is>
      </c>
      <c r="D129" s="25" t="inlineStr">
        <is>
          <t>Australia</t>
        </is>
      </c>
      <c r="E129" s="26" t="n">
        <v>2001</v>
      </c>
      <c r="F129" s="27" t="n">
        <v>45500</v>
      </c>
      <c r="G129" s="28" t="n">
        <v>11222</v>
      </c>
      <c r="H129" s="25" t="inlineStr">
        <is>
          <t>Pacific</t>
        </is>
      </c>
      <c r="I129" s="25" t="inlineStr">
        <is>
          <t>New South Wales (NSW)</t>
        </is>
      </c>
      <c r="J129" s="28" t="n">
        <v>11019.0002715799</v>
      </c>
      <c r="K129" s="25" t="inlineStr">
        <is>
          <t>Worley Ltd. engages in the provision of services to the resources, energy, and industrial sectors. It operates through the following segments: Energy and Chemical Services, Mining, Minerals and Metal Services, Major Projects and Integrated Solutions and Advisian. The Energy and Chemical Services segment includes engineering, procurement, project management, program management, and operations. The Mining, Minerals and Metals Services segment line of business combines extensive local experience and innovative, integrated solutions with technically-led centers of excellence to explore process improvements, develop fit-for-purpose engineering and project execution, and accelerate the translation of customer objectives into actions that drive production and project certainty. The Major Projects and Integrated Solutions segment focuses on delivering projects that pose a level of commercial and reputational risk for Worley by the nature of their size, complexity and the scope of services and also engages in delivering integrated solutions, which include maintenance, modification, operations, engineering, fabrication, construction, hook-up and commissioning services to existing assets around the globe. The Advisian segment provides a true end-to-end offering integrating strategy, management and technical consulting expertise to clients in the hydrocarbons, resources and infrastructure sectors. The company was founded by John Michael Grill in 1971 and is headquartered in Sydney, Australia.</t>
        </is>
      </c>
      <c r="L129" s="25" t="inlineStr">
        <is>
          <t>Infrastructure Construction/Contracting Services</t>
        </is>
      </c>
      <c r="M129" s="25" t="inlineStr">
        <is>
          <t>Facilities and Construction Services</t>
        </is>
      </c>
      <c r="N129" s="25" t="inlineStr">
        <is>
          <t>Industrial Services</t>
        </is>
      </c>
      <c r="O129" s="30" t="inlineStr">
        <is>
          <t>Process Plants, Utilities and Energy Construction</t>
        </is>
      </c>
      <c r="P129" s="28" t="n">
        <v>927.999999999999</v>
      </c>
      <c r="Q129" s="28" t="n">
        <v>953.999993986684</v>
      </c>
      <c r="R129" s="28" t="n">
        <v>408.999999999999</v>
      </c>
      <c r="S129" s="28" t="n">
        <v>8.501158438780971</v>
      </c>
      <c r="T129" s="28" t="n">
        <v>8.26947068258777</v>
      </c>
      <c r="U129" s="28" t="n">
        <v>3.64462662626983</v>
      </c>
    </row>
    <row r="130" ht="15" customHeight="1">
      <c r="A130" s="25" t="inlineStr">
        <is>
          <t>IRE-AU</t>
        </is>
      </c>
      <c r="B130" s="25" t="inlineStr">
        <is>
          <t>Iress Ltd.</t>
        </is>
      </c>
      <c r="C130" s="25" t="inlineStr">
        <is>
          <t>Public</t>
        </is>
      </c>
      <c r="D130" s="25" t="inlineStr">
        <is>
          <t>Australia</t>
        </is>
      </c>
      <c r="E130" s="26" t="n">
        <v>1993</v>
      </c>
      <c r="F130" s="27" t="n">
        <v>1635</v>
      </c>
      <c r="G130" s="28" t="n">
        <v>600.826999999999</v>
      </c>
      <c r="H130" s="25" t="inlineStr">
        <is>
          <t>Pacific</t>
        </is>
      </c>
      <c r="I130" s="25" t="inlineStr">
        <is>
          <t>Victoria (VIC)</t>
        </is>
      </c>
      <c r="J130" s="28" t="n">
        <v>730.2719773482351</v>
      </c>
      <c r="K130" s="25" t="inlineStr">
        <is>
          <t>Iress Ltd. engages in the provision of financial software services industry. It operates through the following segments: Trading &amp; Global Market Data, APAC Wealth Management, Superannuation, Managed Portfolio – UK and Managed Portfolio – Other. The company was founded by Neil Detering, Hung Do, and Peter Dunai in June 1993 and is headquartered in Melbourne, Australia.</t>
        </is>
      </c>
      <c r="L130" s="25" t="inlineStr">
        <is>
          <t>Finance Software and Services</t>
        </is>
      </c>
      <c r="M130" s="25" t="inlineStr">
        <is>
          <t>Finance Software and Services</t>
        </is>
      </c>
      <c r="N130" s="25" t="inlineStr">
        <is>
          <t>Specialty Finance and Services</t>
        </is>
      </c>
      <c r="O130" s="30" t="inlineStr">
        <is>
          <t>Finance Industry Software</t>
        </is>
      </c>
      <c r="P130" s="28" t="n">
        <v>124.214999999999</v>
      </c>
      <c r="Q130" s="28" t="n">
        <v>100.90399531826</v>
      </c>
      <c r="R130" s="28" t="n">
        <v>88.6689999999999</v>
      </c>
      <c r="S130" s="28" t="n">
        <v>16.7941853478622</v>
      </c>
      <c r="T130" s="28" t="n">
        <v>20.6740043306975</v>
      </c>
      <c r="U130" s="28" t="n">
        <v>14.7578254639023</v>
      </c>
    </row>
    <row r="131" ht="15" customHeight="1">
      <c r="A131" s="25" t="inlineStr">
        <is>
          <t>BRG-AU</t>
        </is>
      </c>
      <c r="B131" s="25" t="inlineStr">
        <is>
          <t>Breville Group Ltd.</t>
        </is>
      </c>
      <c r="C131" s="25" t="inlineStr">
        <is>
          <t>Public</t>
        </is>
      </c>
      <c r="D131" s="25" t="inlineStr">
        <is>
          <t>Australia</t>
        </is>
      </c>
      <c r="E131" s="26" t="n">
        <v>1999</v>
      </c>
      <c r="F131" s="27" t="n">
        <v>1119</v>
      </c>
      <c r="G131" s="28" t="n">
        <v>1696.551</v>
      </c>
      <c r="H131" s="25" t="inlineStr">
        <is>
          <t>Pacific</t>
        </is>
      </c>
      <c r="I131" s="25" t="inlineStr">
        <is>
          <t>New South Wales (NSW)</t>
        </is>
      </c>
      <c r="J131" s="28" t="n">
        <v>1481.20903650664</v>
      </c>
      <c r="K131" s="25" t="inlineStr">
        <is>
          <t>Breville Group Ltd. engages in the design and development of small electrical kitchen appliances. It operates through the Global Product and Distribution segments. The Global Product segment sells products designed and developed by Breville that may be sold directly or through third parties and may be branded Breville, Sage or carry a third party brand. The Distribution segment markets products that are designed and developed by a third party which may be sold under a brand owned by the company, like Breville or Kambrook, or may be distributed under a third party brand, like Nespresso. The company was founded on January 11, 1932 and is headquartered in Sydney, Australia.</t>
        </is>
      </c>
      <c r="L131" s="25" t="inlineStr">
        <is>
          <t>Small Appliances and Accessories Manufacturing</t>
        </is>
      </c>
      <c r="M131" s="25" t="inlineStr">
        <is>
          <t>Household Appliances and Tools</t>
        </is>
      </c>
      <c r="N131" s="25" t="inlineStr">
        <is>
          <t>Household Products</t>
        </is>
      </c>
      <c r="O131" s="30" t="inlineStr">
        <is>
          <t>Other Small Home Appliances Makers</t>
        </is>
      </c>
      <c r="P131" s="28" t="n">
        <v>340.563999999999</v>
      </c>
      <c r="Q131" s="28" t="n">
        <v>274.792007965699</v>
      </c>
      <c r="R131" s="28" t="n">
        <v>135.854</v>
      </c>
      <c r="S131" s="28" t="n">
        <v>16.1970963442891</v>
      </c>
      <c r="T131" s="28" t="n">
        <v>20.0739028770724</v>
      </c>
      <c r="U131" s="28" t="n">
        <v>8.00765788944747</v>
      </c>
    </row>
    <row r="132" ht="15" customHeight="1">
      <c r="A132" s="25" t="inlineStr">
        <is>
          <t>GAP-AU</t>
        </is>
      </c>
      <c r="B132" s="25" t="inlineStr">
        <is>
          <t>Gale Pacific Ltd.</t>
        </is>
      </c>
      <c r="C132" s="25" t="inlineStr">
        <is>
          <t>Public</t>
        </is>
      </c>
      <c r="D132" s="25" t="inlineStr">
        <is>
          <t>Australia</t>
        </is>
      </c>
      <c r="E132" s="26" t="n">
        <v>1998</v>
      </c>
      <c r="F132" s="27" t="n">
        <v>600</v>
      </c>
      <c r="G132" s="28" t="n">
        <v>171.988</v>
      </c>
      <c r="H132" s="25" t="inlineStr">
        <is>
          <t>Pacific</t>
        </is>
      </c>
      <c r="I132" s="25" t="inlineStr">
        <is>
          <t>Victoria (VIC)</t>
        </is>
      </c>
      <c r="J132" s="28" t="n">
        <v>175.642004328964</v>
      </c>
      <c r="K132" s="25" t="inlineStr">
        <is>
          <t>Gale Pacific Ltd. is a global marketer and manufacturer of branded screening and shading products for domestic, commercial and industrial applications. The firm operates through the following segments: Australasia, EurAsia, Americas, and Middle East and North Africa. Its products are designed to protect people and outdoor living environments from the harmful effects of UV rays, hail and other adverse weather conditions, improve the efficiency and competitiveness of agribusiness through increased crop protection and improved water conservation and enhance architectural designs and construction applications. The company was founded in 1951 and is headquartered in Braeside, Australia.</t>
        </is>
      </c>
      <c r="L132" s="25" t="inlineStr">
        <is>
          <t>Textile Products</t>
        </is>
      </c>
      <c r="M132" s="25" t="inlineStr">
        <is>
          <t>Other Materials</t>
        </is>
      </c>
      <c r="N132" s="25" t="inlineStr">
        <is>
          <t>Manufactured Products</t>
        </is>
      </c>
      <c r="O132" s="30" t="inlineStr">
        <is>
          <t>Industrial Fabrics Manufacturing</t>
        </is>
      </c>
      <c r="P132" s="28" t="n">
        <v>30.386</v>
      </c>
      <c r="Q132" s="28" t="n">
        <v>11.2909976817107</v>
      </c>
      <c r="R132" s="28" t="n">
        <v>-5.18399999999999</v>
      </c>
      <c r="S132" s="28" t="n">
        <v>6.56499290648185</v>
      </c>
      <c r="T132" s="28" t="n">
        <v>17.6675116868619</v>
      </c>
      <c r="U132" s="28" t="n">
        <v>-3.01416377886829</v>
      </c>
    </row>
    <row r="133" ht="15" customHeight="1">
      <c r="A133" s="25" t="inlineStr">
        <is>
          <t>CNI-AU</t>
        </is>
      </c>
      <c r="B133" s="25" t="inlineStr">
        <is>
          <t>Centuria Capital Group</t>
        </is>
      </c>
      <c r="C133" s="25" t="inlineStr">
        <is>
          <t>Public</t>
        </is>
      </c>
      <c r="D133" s="25" t="inlineStr">
        <is>
          <t>Australia</t>
        </is>
      </c>
      <c r="E133" s="26" t="n">
        <v>1980</v>
      </c>
      <c r="F133" s="27" t="inlineStr">
        <is>
          <t>-</t>
        </is>
      </c>
      <c r="G133" s="28" t="n">
        <v>431.797</v>
      </c>
      <c r="H133" s="25" t="inlineStr">
        <is>
          <t>Pacific</t>
        </is>
      </c>
      <c r="I133" s="25" t="inlineStr">
        <is>
          <t>New South Wales (NSW)</t>
        </is>
      </c>
      <c r="J133" s="28" t="n">
        <v>3586.88808840431</v>
      </c>
      <c r="K133" s="25" t="inlineStr">
        <is>
          <t>Centuria Capital Group is funds manager company. It operates through the following segments: Property Funds, Co-Investments, Developments, Property &amp; Development Finance, Investment Bonds and Corporate. Property Funds Segment which specializes in listed and unlisted property funds. Co-Investments Segment provides direct interest in property funds, properties held for development and other liquid investments. Developments Segment gives completion of structured property developments which span sectors ranging from commercial office,industrial and health through to affordable housing and residential mixed use. Property and Development Finance Segment deals with provision of real estate secured non-bank finance for development projects, bridge finance and residual stock. Investment Bonds Segment including single and multi-premium investments. The company was founded in 1980 and is headquartered in Sydney, Australia.</t>
        </is>
      </c>
      <c r="L133" s="25" t="inlineStr">
        <is>
          <t>Asset Management and Financial Advisory Services</t>
        </is>
      </c>
      <c r="M133" s="25" t="inlineStr">
        <is>
          <t>Investment Services</t>
        </is>
      </c>
      <c r="N133" s="25" t="inlineStr">
        <is>
          <t>Investment Services</t>
        </is>
      </c>
      <c r="O133" s="30" t="inlineStr">
        <is>
          <t>Alternative Investment Managers</t>
        </is>
      </c>
      <c r="P133" s="28" t="n">
        <v>360.561999999999</v>
      </c>
      <c r="Q133" s="28" t="n">
        <v>244.381001818465</v>
      </c>
      <c r="R133" s="28" t="n">
        <v>82.697</v>
      </c>
      <c r="S133" s="28" t="n">
        <v>56.5962709328689</v>
      </c>
      <c r="T133" s="28" t="n">
        <v>83.5026644464876</v>
      </c>
      <c r="U133" s="28" t="n">
        <v>19.1518236578763</v>
      </c>
    </row>
    <row r="134" ht="15" customHeight="1">
      <c r="A134" s="25" t="inlineStr">
        <is>
          <t>TNE-AU</t>
        </is>
      </c>
      <c r="B134" s="25" t="inlineStr">
        <is>
          <t>Technology One Ltd.</t>
        </is>
      </c>
      <c r="C134" s="25" t="inlineStr">
        <is>
          <t>Public</t>
        </is>
      </c>
      <c r="D134" s="25" t="inlineStr">
        <is>
          <t>Australia</t>
        </is>
      </c>
      <c r="E134" s="26" t="n">
        <v>1983</v>
      </c>
      <c r="F134" s="27" t="inlineStr">
        <is>
          <t>-</t>
        </is>
      </c>
      <c r="G134" s="28" t="n">
        <v>506.535999999999</v>
      </c>
      <c r="H134" s="25" t="inlineStr">
        <is>
          <t>Pacific</t>
        </is>
      </c>
      <c r="I134" s="25" t="inlineStr">
        <is>
          <t>Queensland (QLD)</t>
        </is>
      </c>
      <c r="J134" s="28" t="n">
        <v>822.764014099158</v>
      </c>
      <c r="K134" s="25" t="inlineStr">
        <is>
          <t>Technology One Ltd. engages in the development, marketing, sales, implementation, and support of fully integrated enterprise business software solutions. It operates through the Software and Consulting segments. The Software segment consists of sales and marketing, research and development, and software as a service (SaaS) platform. The Consulting segment includes the services related to the services. The company was founded by Adrian Di Marco in 1987 and is headquartered in Brisbane, Australia.</t>
        </is>
      </c>
      <c r="L134" s="25" t="inlineStr">
        <is>
          <t>Enterprise Management Software</t>
        </is>
      </c>
      <c r="M134" s="25" t="inlineStr">
        <is>
          <t>Software</t>
        </is>
      </c>
      <c r="N134" s="25" t="inlineStr">
        <is>
          <t>Software and Consulting</t>
        </is>
      </c>
      <c r="O134" s="30" t="inlineStr">
        <is>
          <t>General Enterprise Management Software</t>
        </is>
      </c>
      <c r="P134" s="28" t="n">
        <v>212.785999999999</v>
      </c>
      <c r="Q134" s="28" t="n">
        <v>216.210998896529</v>
      </c>
      <c r="R134" s="28" t="n">
        <v>118.013999999999</v>
      </c>
      <c r="S134" s="28" t="n">
        <v>42.684231722918</v>
      </c>
      <c r="T134" s="28" t="n">
        <v>42.0080705023927</v>
      </c>
      <c r="U134" s="28" t="n">
        <v>23.2982453369553</v>
      </c>
    </row>
    <row r="135" ht="15" customHeight="1">
      <c r="A135" s="25" t="inlineStr">
        <is>
          <t>PRG-AU</t>
        </is>
      </c>
      <c r="B135" s="25" t="inlineStr">
        <is>
          <t>PRL Global Ltd.</t>
        </is>
      </c>
      <c r="C135" s="25" t="inlineStr">
        <is>
          <t>Public</t>
        </is>
      </c>
      <c r="D135" s="25" t="inlineStr">
        <is>
          <t>Australia</t>
        </is>
      </c>
      <c r="E135" s="26" t="n">
        <v>1987</v>
      </c>
      <c r="F135" s="27" t="inlineStr">
        <is>
          <t>-</t>
        </is>
      </c>
      <c r="G135" s="28" t="n">
        <v>1477.72199999999</v>
      </c>
      <c r="H135" s="25" t="inlineStr">
        <is>
          <t>Pacific</t>
        </is>
      </c>
      <c r="I135" s="25" t="inlineStr">
        <is>
          <t>Western Australia (WA)</t>
        </is>
      </c>
      <c r="J135" s="28" t="n">
        <v>505.179012450904</v>
      </c>
      <c r="K135" s="25" t="inlineStr">
        <is>
          <t>PRL Global Ltd. engages in the provision of mining and mineral exploration. It operates through the following segments: Fertilizer, Farming, and Logistics. The Fertilizer includes mining, processing, and selling phosphate rock, phosphate dust, and chalk. The Farming segment is involved in oil palm cultivation and palm oil processing. The Logistics segment focuses on trading, importing, and exporting commodities. The company was founded on June 18, 1987 and is headquartered in Burswood, Australia.</t>
        </is>
      </c>
      <c r="L135" s="25" t="inlineStr">
        <is>
          <t>Materials Distributors</t>
        </is>
      </c>
      <c r="M135" s="25" t="inlineStr">
        <is>
          <t>Diversified Industrials Distribution</t>
        </is>
      </c>
      <c r="N135" s="25" t="inlineStr">
        <is>
          <t>Industrial Services</t>
        </is>
      </c>
      <c r="O135" s="30" t="inlineStr">
        <is>
          <t>Chemical and Allied Products Distributors</t>
        </is>
      </c>
      <c r="P135" s="28" t="n">
        <v>43.7049999999997</v>
      </c>
      <c r="Q135" s="28" t="n">
        <v>30.5299936590435</v>
      </c>
      <c r="R135" s="28" t="n">
        <v>10.8889999999999</v>
      </c>
      <c r="S135" s="28" t="n">
        <v>2.06601783014667</v>
      </c>
      <c r="T135" s="28" t="n">
        <v>2.9575928354589</v>
      </c>
      <c r="U135" s="28" t="n">
        <v>0.736877437028074</v>
      </c>
    </row>
    <row r="136" ht="15" customHeight="1">
      <c r="A136" s="25" t="inlineStr">
        <is>
          <t>JBH-AU</t>
        </is>
      </c>
      <c r="B136" s="25" t="inlineStr">
        <is>
          <t>JB Hi-Fi Ltd.</t>
        </is>
      </c>
      <c r="C136" s="25" t="inlineStr">
        <is>
          <t>Public</t>
        </is>
      </c>
      <c r="D136" s="25" t="inlineStr">
        <is>
          <t>Australia</t>
        </is>
      </c>
      <c r="E136" s="26" t="n">
        <v>2000</v>
      </c>
      <c r="F136" s="27" t="n">
        <v>16000</v>
      </c>
      <c r="G136" s="28" t="n">
        <v>10554.8</v>
      </c>
      <c r="H136" s="25" t="inlineStr">
        <is>
          <t>Pacific</t>
        </is>
      </c>
      <c r="I136" s="25" t="inlineStr">
        <is>
          <t>Victoria (VIC)</t>
        </is>
      </c>
      <c r="J136" s="28" t="n">
        <v>4179.90010301998</v>
      </c>
      <c r="K136" s="25" t="inlineStr">
        <is>
          <t>JB Hi-Fi Ltd. engages in the retail of home consumer products from stand-alone destination sites, shopping center locations, and online stores. Its brands include Apple, Bose, Breville, DJI, Dyson, Fisher and Paykel, Fitbit, Google, HP, KitchenAid, LG, Microsoft, Nespresso, Nintendo, Samsung, and Sony. It operates through the following segments: JB Hi-Fi Australia, JB Hi-Fi New Zealand, and The Good Guys. The company was founded by John Barbuto in 1974 and is headquartered in Southbank, Australia.</t>
        </is>
      </c>
      <c r="L136" s="25" t="inlineStr">
        <is>
          <t>Electronics Retail</t>
        </is>
      </c>
      <c r="M136" s="25" t="inlineStr">
        <is>
          <t>Electronics and Entertainment Retail</t>
        </is>
      </c>
      <c r="N136" s="25" t="inlineStr">
        <is>
          <t>Consumer Retail</t>
        </is>
      </c>
      <c r="O136" s="30" t="inlineStr">
        <is>
          <t>Consumer Electronics Stores</t>
        </is>
      </c>
      <c r="P136" s="28" t="n">
        <v>2360.4</v>
      </c>
      <c r="Q136" s="28" t="n">
        <v>1049.90000651828</v>
      </c>
      <c r="R136" s="28" t="n">
        <v>462.399999999999</v>
      </c>
      <c r="S136" s="28" t="n">
        <v>9.9471330579452</v>
      </c>
      <c r="T136" s="28" t="n">
        <v>22.3632849509228</v>
      </c>
      <c r="U136" s="28" t="n">
        <v>4.38094516239057</v>
      </c>
    </row>
    <row r="137" ht="15" customHeight="1">
      <c r="A137" s="25" t="inlineStr">
        <is>
          <t>VAU-AU</t>
        </is>
      </c>
      <c r="B137" s="25" t="inlineStr">
        <is>
          <t>Vault Minerals Ltd.</t>
        </is>
      </c>
      <c r="C137" s="25" t="inlineStr">
        <is>
          <t>Public</t>
        </is>
      </c>
      <c r="D137" s="25" t="inlineStr">
        <is>
          <t>Australia</t>
        </is>
      </c>
      <c r="E137" s="26" t="n">
        <v>1995</v>
      </c>
      <c r="F137" s="27" t="inlineStr">
        <is>
          <t>-</t>
        </is>
      </c>
      <c r="G137" s="28" t="n">
        <v>1432.098</v>
      </c>
      <c r="H137" s="25" t="inlineStr">
        <is>
          <t>Pacific</t>
        </is>
      </c>
      <c r="I137" s="25" t="inlineStr">
        <is>
          <t>Western Australia (WA)</t>
        </is>
      </c>
      <c r="J137" s="28" t="n">
        <v>2443.51906022424</v>
      </c>
      <c r="K137" s="25" t="inlineStr">
        <is>
          <t>Vault Minerals Ltd. is a gold exploration and mining company, which engages in the development and exploration of mineral properties. It operates through the following segments: King of the Hills, Mount Monger, Deflector, and Sugar Zone. The King of the Hills and Mount Monger segments produce gold bullion. The Deflector segment focuses on the production of gold bullion and gold-copper concentrate. The Sugar Zone segment is involved in the production of gold bullion and gold concentrate. The company was founded on March 20, 1995 and is headquartered in South Perth, Australia.</t>
        </is>
      </c>
      <c r="L137" s="25" t="inlineStr">
        <is>
          <t>Precious Metal Mining</t>
        </is>
      </c>
      <c r="M137" s="25" t="inlineStr">
        <is>
          <t>Metal Ore Mining</t>
        </is>
      </c>
      <c r="N137" s="25" t="inlineStr">
        <is>
          <t>Mining and Mineral Products</t>
        </is>
      </c>
      <c r="O137" s="30" t="inlineStr">
        <is>
          <t>Asia/Pacific Gold Mining</t>
        </is>
      </c>
      <c r="P137" s="28" t="n">
        <v>302.340999999999</v>
      </c>
      <c r="Q137" s="28" t="n">
        <v>616.6319965102</v>
      </c>
      <c r="R137" s="28" t="n">
        <v>236.981999999999</v>
      </c>
      <c r="S137" s="28" t="n">
        <v>43.0579471516614</v>
      </c>
      <c r="T137" s="28" t="n">
        <v>21.1117535252476</v>
      </c>
      <c r="U137" s="28" t="n">
        <v>16.5478898790446</v>
      </c>
    </row>
    <row r="138" ht="15" customHeight="1">
      <c r="A138" s="25" t="inlineStr">
        <is>
          <t>CQE-AU</t>
        </is>
      </c>
      <c r="B138" s="25" t="inlineStr">
        <is>
          <t>Charter Hall Social Infrastructure REIT</t>
        </is>
      </c>
      <c r="C138" s="25" t="inlineStr">
        <is>
          <t>Public</t>
        </is>
      </c>
      <c r="D138" s="25" t="inlineStr">
        <is>
          <t>Australia</t>
        </is>
      </c>
      <c r="E138" s="26" t="n">
        <v>2002</v>
      </c>
      <c r="F138" s="27" t="inlineStr">
        <is>
          <t>-</t>
        </is>
      </c>
      <c r="G138" s="28" t="n">
        <v>118.4</v>
      </c>
      <c r="H138" s="25" t="inlineStr">
        <is>
          <t>Pacific</t>
        </is>
      </c>
      <c r="I138" s="25" t="inlineStr">
        <is>
          <t>New South Wales (NSW)</t>
        </is>
      </c>
      <c r="J138" s="28" t="n">
        <v>2130.00005249709</v>
      </c>
      <c r="K138" s="25" t="inlineStr">
        <is>
          <t>Charter Hall Social Infrastructure REIT engages in investing in early learning properties. It also focuses on the investment in social properties within Australia and New Zealand. The company was founded in November 2002 and is headquartered in Sydney, Australia.</t>
        </is>
      </c>
      <c r="L138" s="25" t="inlineStr">
        <is>
          <t>Equity REITs</t>
        </is>
      </c>
      <c r="M138" s="25" t="inlineStr">
        <is>
          <t>Real Estate Investment Trusts (REITs)</t>
        </is>
      </c>
      <c r="N138" s="25" t="inlineStr">
        <is>
          <t>Real Estate</t>
        </is>
      </c>
      <c r="O138" s="30" t="inlineStr">
        <is>
          <t>Equity REITs</t>
        </is>
      </c>
      <c r="P138" s="28" t="n">
        <v>85.8</v>
      </c>
      <c r="Q138" s="28" t="n">
        <v>68.80001224275711</v>
      </c>
      <c r="R138" s="28" t="n">
        <v>71</v>
      </c>
      <c r="S138" s="28" t="n">
        <v>58.1081081081081</v>
      </c>
      <c r="T138" s="28" t="n">
        <v>72.4662162162162</v>
      </c>
      <c r="U138" s="28" t="n">
        <v>59.9662162162162</v>
      </c>
    </row>
    <row r="139" ht="15" customHeight="1">
      <c r="A139" s="25" t="inlineStr">
        <is>
          <t>SUL-AU</t>
        </is>
      </c>
      <c r="B139" s="25" t="inlineStr">
        <is>
          <t>Super Retail Group Ltd.</t>
        </is>
      </c>
      <c r="C139" s="25" t="inlineStr">
        <is>
          <t>Public</t>
        </is>
      </c>
      <c r="D139" s="25" t="inlineStr">
        <is>
          <t>Australia</t>
        </is>
      </c>
      <c r="E139" s="26" t="n">
        <v>2004</v>
      </c>
      <c r="F139" s="27" t="n">
        <v>15981</v>
      </c>
      <c r="G139" s="28" t="n">
        <v>4070.28653498197</v>
      </c>
      <c r="H139" s="25" t="inlineStr">
        <is>
          <t>Pacific</t>
        </is>
      </c>
      <c r="I139" s="25" t="inlineStr">
        <is>
          <t>Queensland (QLD)</t>
        </is>
      </c>
      <c r="J139" s="28" t="n">
        <v>3750.8950143215</v>
      </c>
      <c r="K139" s="25" t="inlineStr">
        <is>
          <t>Super Retail Group Ltd. engages in the retail and distribution of auto parts, tools, sports equipment, and apparel. It operates through the following segments: Supercheap Auto (SCA), Rebel, BCF, and Macpac. The SCA segment retails auto parts and accessories, tools and equipment. The Rebel segment is involved in retailing sporting equipment and apparel. The BCF segment refers to retailing boating, camping, outdoor equipment, fishing equipment, and apparel. The Macpac segment is associated with retailing apparel, camping, and outdoor equipment. The company was founded by Reginald Allen Rowe and Hazel Rowe in 1972 and is headquartered in Strathpine, Australia.</t>
        </is>
      </c>
      <c r="L139" s="25" t="inlineStr">
        <is>
          <t>Entertainment Retail</t>
        </is>
      </c>
      <c r="M139" s="25" t="inlineStr">
        <is>
          <t>Electronics and Entertainment Retail</t>
        </is>
      </c>
      <c r="N139" s="25" t="inlineStr">
        <is>
          <t>Consumer Retail</t>
        </is>
      </c>
      <c r="O139" s="30" t="inlineStr">
        <is>
          <t>Other Entertainment Retail</t>
        </is>
      </c>
      <c r="P139" s="28" t="n">
        <v>1857.48512569114</v>
      </c>
      <c r="Q139" s="28" t="n">
        <v>752.2344733925549</v>
      </c>
      <c r="R139" s="28" t="n">
        <v>221.810165219282</v>
      </c>
      <c r="S139" s="28" t="n">
        <v>18.4811184000393</v>
      </c>
      <c r="T139" s="28" t="n">
        <v>45.6352423773372</v>
      </c>
      <c r="U139" s="28" t="n">
        <v>5.44949755534262</v>
      </c>
    </row>
    <row r="140" ht="15" customHeight="1">
      <c r="A140" s="25" t="inlineStr">
        <is>
          <t>DTL-AU</t>
        </is>
      </c>
      <c r="B140" s="25" t="inlineStr">
        <is>
          <t>Data#3 Ltd.</t>
        </is>
      </c>
      <c r="C140" s="25" t="inlineStr">
        <is>
          <t>Public</t>
        </is>
      </c>
      <c r="D140" s="25" t="inlineStr">
        <is>
          <t>Australia</t>
        </is>
      </c>
      <c r="E140" s="26" t="n">
        <v>1984</v>
      </c>
      <c r="F140" s="27" t="n">
        <v>1446</v>
      </c>
      <c r="G140" s="28" t="n">
        <v>852.659</v>
      </c>
      <c r="H140" s="25" t="inlineStr">
        <is>
          <t>Pacific</t>
        </is>
      </c>
      <c r="I140" s="25" t="inlineStr">
        <is>
          <t>Queensland (QLD)</t>
        </is>
      </c>
      <c r="J140" s="28" t="n">
        <v>949.672023406109</v>
      </c>
      <c r="K140" s="25" t="inlineStr">
        <is>
          <t>Data#3 Ltd. engages in the provision of on premise, outsourced, and cloud technology solutions in a hybrid information technology throughout Australia and Asia Pacific. The company was founded by Terry Powell and Graham Clark in 1977 and is headquartered in Brisbane, Australia.</t>
        </is>
      </c>
      <c r="L140" s="25" t="inlineStr">
        <is>
          <t>Infrastructure and Network Consulting Services</t>
        </is>
      </c>
      <c r="M140" s="25" t="inlineStr">
        <is>
          <t>Technology Consulting Services</t>
        </is>
      </c>
      <c r="N140" s="25" t="inlineStr">
        <is>
          <t>Software and Consulting</t>
        </is>
      </c>
      <c r="O140" s="30" t="inlineStr">
        <is>
          <t>Network Design and Implementation Consulting</t>
        </is>
      </c>
      <c r="P140" s="28" t="n">
        <v>282.889</v>
      </c>
      <c r="Q140" s="28" t="n">
        <v>66.0589914623509</v>
      </c>
      <c r="R140" s="28" t="n">
        <v>48.194</v>
      </c>
      <c r="S140" s="28" t="n">
        <v>7.7474113332528</v>
      </c>
      <c r="T140" s="28" t="n">
        <v>33.1772725087051</v>
      </c>
      <c r="U140" s="28" t="n">
        <v>5.65220093847599</v>
      </c>
    </row>
    <row r="141" ht="15" customHeight="1">
      <c r="A141" s="25" t="inlineStr">
        <is>
          <t>VGN-AU</t>
        </is>
      </c>
      <c r="B141" s="25" t="inlineStr">
        <is>
          <t>Virgin Australia Holdings Ltd.</t>
        </is>
      </c>
      <c r="C141" s="25" t="inlineStr">
        <is>
          <t>Public</t>
        </is>
      </c>
      <c r="D141" s="25" t="inlineStr">
        <is>
          <t>Australia</t>
        </is>
      </c>
      <c r="E141" s="26" t="n">
        <v>2002</v>
      </c>
      <c r="F141" s="27" t="n">
        <v>10620</v>
      </c>
      <c r="G141" s="28" t="n">
        <v>5782</v>
      </c>
      <c r="H141" s="25" t="inlineStr">
        <is>
          <t>Pacific</t>
        </is>
      </c>
      <c r="I141" s="25" t="inlineStr">
        <is>
          <t>Queensland (QLD)</t>
        </is>
      </c>
      <c r="J141" s="28" t="n">
        <v>4872.10012008031</v>
      </c>
      <c r="K141" s="25" t="inlineStr">
        <is>
          <t>Virgin Australia Holdings Ltd. engages in the provision of domestic and international airline services. It operates through the Airlines and Velocity segments. The Airlines segment provides airline services. The Velocity segment deals with the loyalty program industry. The company was founded by Brett Alan Godfrey on August 1, 2000 and is headquartered in South Brisbane, Australia.</t>
        </is>
      </c>
      <c r="L141" s="25" t="inlineStr">
        <is>
          <t>Air Passenger Transportation</t>
        </is>
      </c>
      <c r="M141" s="25" t="inlineStr">
        <is>
          <t>Passenger Transportation</t>
        </is>
      </c>
      <c r="N141" s="25" t="inlineStr">
        <is>
          <t>Industrial Services</t>
        </is>
      </c>
      <c r="O141" s="30" t="inlineStr">
        <is>
          <t>Asia/Pacific Air Passenger Service Providers</t>
        </is>
      </c>
      <c r="P141" s="28" t="n">
        <v>757.8</v>
      </c>
      <c r="Q141" s="28" t="n">
        <v>829.699997049088</v>
      </c>
      <c r="R141" s="28" t="n">
        <v>478.499999999999</v>
      </c>
      <c r="S141" s="28" t="n">
        <v>14.3497059840886</v>
      </c>
      <c r="T141" s="28" t="n">
        <v>13.106191629194</v>
      </c>
      <c r="U141" s="28" t="n">
        <v>8.275683154617781</v>
      </c>
    </row>
    <row r="142" ht="15" customHeight="1">
      <c r="A142" s="25" t="inlineStr">
        <is>
          <t>ABG-AU</t>
        </is>
      </c>
      <c r="B142" s="25" t="inlineStr">
        <is>
          <t>Abacus Group</t>
        </is>
      </c>
      <c r="C142" s="25" t="inlineStr">
        <is>
          <t>Public</t>
        </is>
      </c>
      <c r="D142" s="25" t="inlineStr">
        <is>
          <t>Australia</t>
        </is>
      </c>
      <c r="E142" s="26" t="n">
        <v>2020</v>
      </c>
      <c r="F142" s="27" t="inlineStr">
        <is>
          <t>-</t>
        </is>
      </c>
      <c r="G142" s="28" t="n">
        <v>176.407999999999</v>
      </c>
      <c r="H142" s="25" t="inlineStr">
        <is>
          <t>Pacific</t>
        </is>
      </c>
      <c r="I142" s="25" t="inlineStr">
        <is>
          <t>New South Wales (NSW)</t>
        </is>
      </c>
      <c r="J142" s="28" t="n">
        <v>2593.61706392364</v>
      </c>
      <c r="K142" s="25" t="inlineStr">
        <is>
          <t>Abacus Group engages in the investment in self-storage, office, retail,and industrial properties. The company was founded in 1996 and is headquartered in Sydney, Australia.</t>
        </is>
      </c>
      <c r="L142" s="25" t="inlineStr">
        <is>
          <t>Equity REITs</t>
        </is>
      </c>
      <c r="M142" s="25" t="inlineStr">
        <is>
          <t>Real Estate Investment Trusts (REITs)</t>
        </is>
      </c>
      <c r="N142" s="25" t="inlineStr">
        <is>
          <t>Real Estate</t>
        </is>
      </c>
      <c r="O142" s="30" t="inlineStr">
        <is>
          <t>Equity REITs</t>
        </is>
      </c>
      <c r="P142" s="28" t="n">
        <v>127.42</v>
      </c>
      <c r="Q142" s="28" t="n">
        <v>83.1609989035624</v>
      </c>
      <c r="R142" s="28" t="n">
        <v>26.91</v>
      </c>
      <c r="S142" s="28" t="n">
        <v>47.1412861094735</v>
      </c>
      <c r="T142" s="28" t="n">
        <v>72.2302843408462</v>
      </c>
      <c r="U142" s="28" t="n">
        <v>15.2544102308285</v>
      </c>
    </row>
    <row r="143" ht="15" customHeight="1">
      <c r="A143" s="25" t="inlineStr">
        <is>
          <t>BOL-AU</t>
        </is>
      </c>
      <c r="B143" s="25" t="inlineStr">
        <is>
          <t>Boom Logistics Ltd.</t>
        </is>
      </c>
      <c r="C143" s="25" t="inlineStr">
        <is>
          <t>Public</t>
        </is>
      </c>
      <c r="D143" s="25" t="inlineStr">
        <is>
          <t>Australia</t>
        </is>
      </c>
      <c r="E143" s="26" t="n">
        <v>2000</v>
      </c>
      <c r="F143" s="27" t="n">
        <v>800</v>
      </c>
      <c r="G143" s="28" t="n">
        <v>264.552999999999</v>
      </c>
      <c r="H143" s="25" t="inlineStr">
        <is>
          <t>Pacific</t>
        </is>
      </c>
      <c r="I143" s="25" t="inlineStr">
        <is>
          <t>Victoria (VIC)</t>
        </is>
      </c>
      <c r="J143" s="28" t="n">
        <v>277.949006850474</v>
      </c>
      <c r="K143" s="25" t="inlineStr">
        <is>
          <t>Boom Logistics Ltd. engages in the provision of crane logistics and lifting solutions. It operates through the following business segments: Lifting Solutions, and Labour Hire. The Lifting Solutions segment consists of all lifting activities including the provision of cranes, travel towers, access equipment and all associated services. The Labour Hire segment includes the provision of skilled labour with range of trades, such as, electricians, boiler makers, mechanics, plus the traditional crane and travel tower operators, riggers, and truck drivers. The company was founded on December 22, 2000 and is headquartered in Southbank, Australia.</t>
        </is>
      </c>
      <c r="L143" s="25" t="inlineStr">
        <is>
          <t>Specialty Contracting Services</t>
        </is>
      </c>
      <c r="M143" s="25" t="inlineStr">
        <is>
          <t>Facilities and Construction Services</t>
        </is>
      </c>
      <c r="N143" s="25" t="inlineStr">
        <is>
          <t>Industrial Services</t>
        </is>
      </c>
      <c r="O143" s="30" t="inlineStr">
        <is>
          <t>Industrial Specialty Engineering Contractors</t>
        </is>
      </c>
      <c r="P143" s="28" t="n">
        <v>38.9979999999999</v>
      </c>
      <c r="Q143" s="28" t="n">
        <v>49.9899951199635</v>
      </c>
      <c r="R143" s="28" t="n">
        <v>23.312</v>
      </c>
      <c r="S143" s="28" t="n">
        <v>18.8960246151055</v>
      </c>
      <c r="T143" s="28" t="n">
        <v>14.7410915771131</v>
      </c>
      <c r="U143" s="28" t="n">
        <v>8.811844885523881</v>
      </c>
    </row>
    <row r="144" ht="15" customHeight="1">
      <c r="A144" s="25" t="inlineStr">
        <is>
          <t>LKE-AU</t>
        </is>
      </c>
      <c r="B144" s="25" t="inlineStr">
        <is>
          <t>Lake Resources NL</t>
        </is>
      </c>
      <c r="C144" s="25" t="inlineStr">
        <is>
          <t>Public</t>
        </is>
      </c>
      <c r="D144" s="25" t="inlineStr">
        <is>
          <t>Australia</t>
        </is>
      </c>
      <c r="E144" s="26" t="n">
        <v>1997</v>
      </c>
      <c r="F144" s="27" t="n">
        <v>30000</v>
      </c>
      <c r="G144" s="28" t="n">
        <v>0</v>
      </c>
      <c r="H144" s="25" t="inlineStr">
        <is>
          <t>Pacific</t>
        </is>
      </c>
      <c r="I144" s="25" t="inlineStr">
        <is>
          <t>New South Wales (NSW)</t>
        </is>
      </c>
      <c r="J144" s="28" t="n">
        <v>162.98491301701</v>
      </c>
      <c r="K144" s="25" t="inlineStr">
        <is>
          <t>Lake Resources NL, is a lithium exploration company, which focuses on exploring lithium basins and pegmatites in Argentina. Its flagship project is the Kachi Project located in Catamarca province in Argentina’s Lithium Triangle. It also has additional early-stage projects in this region, at Cauchari, Olaroz, and Paso de Jama. The company was founded on July 24, 1997 and is headquartered in Sydney, Australia.</t>
        </is>
      </c>
      <c r="L144" s="25" t="inlineStr">
        <is>
          <t>Base Metal Mining</t>
        </is>
      </c>
      <c r="M144" s="25" t="inlineStr">
        <is>
          <t>Metal Ore Mining</t>
        </is>
      </c>
      <c r="N144" s="25" t="inlineStr">
        <is>
          <t>Mining and Mineral Products</t>
        </is>
      </c>
      <c r="O144" s="30" t="inlineStr">
        <is>
          <t>Lithium Ore Mining</t>
        </is>
      </c>
      <c r="P144" s="28" t="n">
        <v>-1.025864</v>
      </c>
      <c r="Q144" s="28" t="n">
        <v>-27.1747033231236</v>
      </c>
      <c r="R144" s="28" t="n">
        <v>-19.54592</v>
      </c>
      <c r="S144" s="28" t="inlineStr">
        <is>
          <t>-</t>
        </is>
      </c>
      <c r="T144" s="28" t="inlineStr">
        <is>
          <t>-</t>
        </is>
      </c>
      <c r="U144" s="28" t="inlineStr">
        <is>
          <t>-</t>
        </is>
      </c>
    </row>
    <row r="145" ht="15" customHeight="1">
      <c r="A145" s="25" t="inlineStr">
        <is>
          <t>AEL-AU</t>
        </is>
      </c>
      <c r="B145" s="25" t="inlineStr">
        <is>
          <t>Amplitude Energy Ltd.</t>
        </is>
      </c>
      <c r="C145" s="25" t="inlineStr">
        <is>
          <t>Public</t>
        </is>
      </c>
      <c r="D145" s="25" t="inlineStr">
        <is>
          <t>Australia</t>
        </is>
      </c>
      <c r="E145" s="26" t="n">
        <v>2001</v>
      </c>
      <c r="F145" s="27" t="n">
        <v>146</v>
      </c>
      <c r="G145" s="28" t="n">
        <v>268.061</v>
      </c>
      <c r="H145" s="25" t="inlineStr">
        <is>
          <t>Pacific</t>
        </is>
      </c>
      <c r="I145" s="25" t="inlineStr">
        <is>
          <t>South Australia (SA)</t>
        </is>
      </c>
      <c r="J145" s="28" t="n">
        <v>1357.87103346679</v>
      </c>
      <c r="K145" s="25" t="inlineStr">
        <is>
          <t>Amplitude Energy Ltd.is an oil and gas exploration and development company. It operates through the following segments: Cooper Basin, South-East Australia and Corporate and Other. The Cooper Basin segment engages in the exploration and evaluation of oil and gas and production and sale of crude oil in the Group's permits within the Cooper Basin. The South-East Australia segment consists of the Sole Gas Project, the operated Casino Henry producing gas assets and Athena Gas Plant, the Manta Gas Project and the non-operated depleted Minerva field. The Corporate and Other segment includes the revenue and costs associated with the running of the business and includes items which are not directly allocable to the other segments. The company was founded on March 9, 2001 and is headquartered in Adelaide, Australia.</t>
        </is>
      </c>
      <c r="L145" s="25" t="inlineStr">
        <is>
          <t>Other Fossil Fuel Exploration and Production</t>
        </is>
      </c>
      <c r="M145" s="25" t="inlineStr">
        <is>
          <t>Fossil Fuel Exploration and Production</t>
        </is>
      </c>
      <c r="N145" s="25" t="inlineStr">
        <is>
          <t>Upstream Energy</t>
        </is>
      </c>
      <c r="O145" s="30" t="inlineStr">
        <is>
          <t>Asia/Pacific Fossil Fuel Exploration/Production</t>
        </is>
      </c>
      <c r="P145" s="28" t="n">
        <v>66.3859999999999</v>
      </c>
      <c r="Q145" s="28" t="n">
        <v>173.544999912509</v>
      </c>
      <c r="R145" s="28" t="n">
        <v>-41.3309999999999</v>
      </c>
      <c r="S145" s="28" t="n">
        <v>64.74086122188611</v>
      </c>
      <c r="T145" s="28" t="n">
        <v>24.7652586538139</v>
      </c>
      <c r="U145" s="28" t="n">
        <v>-15.4185054894222</v>
      </c>
    </row>
    <row r="146" ht="15" customHeight="1">
      <c r="A146" s="25" t="inlineStr">
        <is>
          <t>RMS-AU</t>
        </is>
      </c>
      <c r="B146" s="25" t="inlineStr">
        <is>
          <t>Ramelius Resources Ltd.</t>
        </is>
      </c>
      <c r="C146" s="25" t="inlineStr">
        <is>
          <t>Public</t>
        </is>
      </c>
      <c r="D146" s="25" t="inlineStr">
        <is>
          <t>Australia</t>
        </is>
      </c>
      <c r="E146" s="26" t="n">
        <v>1979</v>
      </c>
      <c r="F146" s="27" t="n">
        <v>250</v>
      </c>
      <c r="G146" s="28" t="n">
        <v>1203.24499999999</v>
      </c>
      <c r="H146" s="25" t="inlineStr">
        <is>
          <t>Pacific</t>
        </is>
      </c>
      <c r="I146" s="25" t="inlineStr">
        <is>
          <t>Western Australia (WA)</t>
        </is>
      </c>
      <c r="J146" s="28" t="n">
        <v>2410.38605940762</v>
      </c>
      <c r="K146" s="25" t="inlineStr">
        <is>
          <t>Ramelius Resources Ltd. engages in the development and exploration of mines. Its projects include Dalgaranga Gold Mine, Edna May Gold Mine, Mt. Magnet Gold Mine, Eridanus, Hill 60, Shannon, Penny Gold Mine, Symes Gold Mine, Tampia Gold Mine, Cue Gold, Edna May Gold, Mount Magnet Gold Exploration, Rebecca Gold, and Roe Gold. It operates through the following segments: Mt. Magnet, Edna May, and Exploration. The Mt. Magnet segment refers to mining and processing of gold from the Mount Magnet region. The Edna May segment focuses on the mining and processing of gold from the Edna May region. The Exploration segment includes exploration and evaluation of gold mineralization. The company was founded on May 4, 1979 and is headquartered in Perth, Australia.</t>
        </is>
      </c>
      <c r="L146" s="25" t="inlineStr">
        <is>
          <t>Precious Metal Mining</t>
        </is>
      </c>
      <c r="M146" s="25" t="inlineStr">
        <is>
          <t>Metal Ore Mining</t>
        </is>
      </c>
      <c r="N146" s="25" t="inlineStr">
        <is>
          <t>Mining and Mineral Products</t>
        </is>
      </c>
      <c r="O146" s="30" t="inlineStr">
        <is>
          <t>Asia/Pacific Gold Mining</t>
        </is>
      </c>
      <c r="P146" s="28" t="n">
        <v>670.459999999999</v>
      </c>
      <c r="Q146" s="28" t="n">
        <v>820.562000108241</v>
      </c>
      <c r="R146" s="28" t="n">
        <v>474.168</v>
      </c>
      <c r="S146" s="28" t="n">
        <v>68.1957539819405</v>
      </c>
      <c r="T146" s="28" t="n">
        <v>55.7209878287464</v>
      </c>
      <c r="U146" s="28" t="n">
        <v>39.4074357258912</v>
      </c>
    </row>
    <row r="147" ht="15" customHeight="1">
      <c r="A147" s="25" t="inlineStr">
        <is>
          <t>HLO-AU</t>
        </is>
      </c>
      <c r="B147" s="25" t="inlineStr">
        <is>
          <t>Helloworld Travel Ltd.</t>
        </is>
      </c>
      <c r="C147" s="25" t="inlineStr">
        <is>
          <t>Public</t>
        </is>
      </c>
      <c r="D147" s="25" t="inlineStr">
        <is>
          <t>Australia</t>
        </is>
      </c>
      <c r="E147" s="26" t="n">
        <v>2000</v>
      </c>
      <c r="F147" s="27" t="n">
        <v>919</v>
      </c>
      <c r="G147" s="28" t="n">
        <v>186.276</v>
      </c>
      <c r="H147" s="25" t="inlineStr">
        <is>
          <t>Pacific</t>
        </is>
      </c>
      <c r="I147" s="25" t="inlineStr">
        <is>
          <t>Victoria (VIC)</t>
        </is>
      </c>
      <c r="J147" s="28" t="n">
        <v>568.149014002895</v>
      </c>
      <c r="K147" s="25" t="inlineStr">
        <is>
          <t>Helloworld Travel Ltd. engages in the selling of international and domestic travel products and services. It operates through the following geographical segments: Australia, New Zealand, Rest of World (ROW); and Transport, Logistics, and Warehousing. The Australia and New Zealand segments focuses on retail distribution operations, air ticketing, wholesale and inbound, and travel management businesses. The ROW segment includes wholesale businesses of Insider Journeys, Tourist Transport Fiji and Qantas Vacations in North America, in addition to the inbound business in Fiji. The Transport, Logistics, and Warehousing segment refers to entertainment industry transport and logistics, and warehousing. The company was founded in 2000 and is headquartered in South Melbourne, Australia.</t>
        </is>
      </c>
      <c r="L147" s="25" t="inlineStr">
        <is>
          <t>Travel Arrangement and Reservation Services</t>
        </is>
      </c>
      <c r="M147" s="25" t="inlineStr">
        <is>
          <t>Hospitality Services</t>
        </is>
      </c>
      <c r="N147" s="25" t="inlineStr">
        <is>
          <t>Hospitality Services</t>
        </is>
      </c>
      <c r="O147" s="30" t="inlineStr">
        <is>
          <t>Travel Agencies</t>
        </is>
      </c>
      <c r="P147" s="28" t="n">
        <v>100.612999999999</v>
      </c>
      <c r="Q147" s="28" t="n">
        <v>48.5529885294482</v>
      </c>
      <c r="R147" s="28" t="n">
        <v>33.092</v>
      </c>
      <c r="S147" s="28" t="n">
        <v>26.0650862161524</v>
      </c>
      <c r="T147" s="28" t="n">
        <v>54.012862633941</v>
      </c>
      <c r="U147" s="28" t="n">
        <v>17.7650368270738</v>
      </c>
    </row>
    <row r="148" ht="15" customHeight="1">
      <c r="A148" s="25" t="inlineStr">
        <is>
          <t>CCP-AU</t>
        </is>
      </c>
      <c r="B148" s="25" t="inlineStr">
        <is>
          <t>Credit Corp. Group Ltd.</t>
        </is>
      </c>
      <c r="C148" s="25" t="inlineStr">
        <is>
          <t>Public</t>
        </is>
      </c>
      <c r="D148" s="25" t="inlineStr">
        <is>
          <t>Australia</t>
        </is>
      </c>
      <c r="E148" s="26" t="n">
        <v>2000</v>
      </c>
      <c r="F148" s="27" t="n">
        <v>2149</v>
      </c>
      <c r="G148" s="28" t="n">
        <v>545.636999999999</v>
      </c>
      <c r="H148" s="25" t="inlineStr">
        <is>
          <t>Pacific</t>
        </is>
      </c>
      <c r="I148" s="25" t="inlineStr">
        <is>
          <t>New South Wales (NSW)</t>
        </is>
      </c>
      <c r="J148" s="28" t="n">
        <v>1398.14203445933</v>
      </c>
      <c r="K148" s="25" t="inlineStr">
        <is>
          <t>Credit Corp. Group Ltd. engages in debt purchase and debt collection services. It operates through Debt Ledger Purchasing-Australia &amp; New Zealand, Debt Ledger Purchasing-United States, and Consumer Lending segments. The Debt Ledger Purchasing-Australia &amp; New Zealand segment includes the contingent collection services business in Australia and New Zealand. The Debt Ledger Purchasing-United States segment purchases consumer debts at a discount to their face value from credit providers in the United States, with the objective of recovering amounts in excess of the purchase price over the collection life cycle of the receivables to produce a return. The Consumer Lending segment offers various financial products to impaired consumers. The company was founded in 1992 and is headquartered in Sydney, Australia.</t>
        </is>
      </c>
      <c r="L148" s="25" t="inlineStr">
        <is>
          <t>Commercial Finance Services</t>
        </is>
      </c>
      <c r="M148" s="25" t="inlineStr">
        <is>
          <t>Specialty Finance</t>
        </is>
      </c>
      <c r="N148" s="25" t="inlineStr">
        <is>
          <t>Specialty Finance and Services</t>
        </is>
      </c>
      <c r="O148" s="30" t="inlineStr">
        <is>
          <t>Diversified Loan Services</t>
        </is>
      </c>
      <c r="P148" s="28" t="n">
        <v>445.920999999999</v>
      </c>
      <c r="Q148" s="28" t="n">
        <v>204.493009392951</v>
      </c>
      <c r="R148" s="28" t="n">
        <v>94.0949999999999</v>
      </c>
      <c r="S148" s="28" t="n">
        <v>37.477846993514</v>
      </c>
      <c r="T148" s="28" t="n">
        <v>81.7248463722218</v>
      </c>
      <c r="U148" s="28" t="n">
        <v>17.2449815536703</v>
      </c>
    </row>
    <row r="149" ht="15" customHeight="1">
      <c r="A149" s="25" t="inlineStr">
        <is>
          <t>RMC-AU</t>
        </is>
      </c>
      <c r="B149" s="25" t="inlineStr">
        <is>
          <t>Resimac Group Ltd.</t>
        </is>
      </c>
      <c r="C149" s="25" t="inlineStr">
        <is>
          <t>Public</t>
        </is>
      </c>
      <c r="D149" s="25" t="inlineStr">
        <is>
          <t>Australia</t>
        </is>
      </c>
      <c r="E149" s="26" t="n">
        <v>2000</v>
      </c>
      <c r="F149" s="27" t="inlineStr">
        <is>
          <t>-</t>
        </is>
      </c>
      <c r="G149" s="28" t="n">
        <v>1076.45699999999</v>
      </c>
      <c r="H149" s="25" t="inlineStr">
        <is>
          <t>Pacific</t>
        </is>
      </c>
      <c r="I149" s="25" t="inlineStr">
        <is>
          <t>New South Wales (NSW)</t>
        </is>
      </c>
      <c r="J149" s="28" t="n">
        <v>16856.5494154552</v>
      </c>
      <c r="K149" s="25" t="inlineStr">
        <is>
          <t>Resimac Group Ltd. engages in the provision of mortgage origination and management of home loans. Its business model comprises originating, servicing and funding prime, non-conforming residential mortgages, and asset finance products in Australia and New Zealand. The firm operates through the following segments: Home Loan Lending Business, New Zealand Lending Business, and Asset Finance Lending Business. The Home Loan Lending Business manages Australian mortgage distribution and lending, including income from new loans, portfolio margins, and commissions from various loan sources. The New Zealand Lending Business handles mortgage lending in New Zealand. The Asset Finance Lending Business deals in Australian auto, equipment, business loans, and insurance premium loans. The company was founded by Timothy Alastair Holmes and Robert Peter Salmon in 1985 and is headquartered in Sydney, Australia.</t>
        </is>
      </c>
      <c r="L149" s="25" t="inlineStr">
        <is>
          <t>Mortgage Banking</t>
        </is>
      </c>
      <c r="M149" s="25" t="inlineStr">
        <is>
          <t>Mortgage Banking</t>
        </is>
      </c>
      <c r="N149" s="25" t="inlineStr">
        <is>
          <t>Banking</t>
        </is>
      </c>
      <c r="O149" s="30" t="inlineStr">
        <is>
          <t>Residential Mortgage Banking and Services</t>
        </is>
      </c>
      <c r="P149" s="28" t="n">
        <v>1056.212</v>
      </c>
      <c r="Q149" s="28" t="n">
        <v>960.985005627559</v>
      </c>
      <c r="R149" s="28" t="n">
        <v>34.5839999999999</v>
      </c>
      <c r="S149" s="28" t="n">
        <v>89.2729574892448</v>
      </c>
      <c r="T149" s="28" t="n">
        <v>98.1192931998213</v>
      </c>
      <c r="U149" s="28" t="n">
        <v>3.21276186601044</v>
      </c>
    </row>
    <row r="150" ht="15" customHeight="1">
      <c r="A150" s="25" t="inlineStr">
        <is>
          <t>WEB-AU</t>
        </is>
      </c>
      <c r="B150" s="25" t="inlineStr">
        <is>
          <t>WEB Travel Group Ltd.</t>
        </is>
      </c>
      <c r="C150" s="25" t="inlineStr">
        <is>
          <t>Public</t>
        </is>
      </c>
      <c r="D150" s="25" t="inlineStr">
        <is>
          <t>Australia</t>
        </is>
      </c>
      <c r="E150" s="26" t="n">
        <v>1980</v>
      </c>
      <c r="F150" s="27" t="n">
        <v>1900</v>
      </c>
      <c r="G150" s="28" t="n">
        <v>328.399999999999</v>
      </c>
      <c r="H150" s="25" t="inlineStr">
        <is>
          <t>Pacific</t>
        </is>
      </c>
      <c r="I150" s="25" t="inlineStr">
        <is>
          <t>Victoria (VIC)</t>
        </is>
      </c>
      <c r="J150" s="28" t="n">
        <v>1525.100021844</v>
      </c>
      <c r="K150" s="25" t="inlineStr">
        <is>
          <t>WEB Travel Group Ltd. provides online travel booking services. It is an online travel agency, which enables customers to search and book the domestic and international travel flight deals, travel insurance, car hire, and hotel accommodation worldwide. The Company was founded by David Clarke, Allan Nahum, and John Lemish in 1998 and is headquartered in Melbourne, Australia.</t>
        </is>
      </c>
      <c r="L150" s="25" t="inlineStr">
        <is>
          <t>Travel Arrangement and Reservation Services</t>
        </is>
      </c>
      <c r="M150" s="25" t="inlineStr">
        <is>
          <t>Hospitality Services</t>
        </is>
      </c>
      <c r="N150" s="25" t="inlineStr">
        <is>
          <t>Hospitality Services</t>
        </is>
      </c>
      <c r="O150" s="30" t="inlineStr">
        <is>
          <t>Travel Agencies</t>
        </is>
      </c>
      <c r="P150" s="28" t="n">
        <v>108.699999999999</v>
      </c>
      <c r="Q150" s="28" t="n">
        <v>117.69999906237</v>
      </c>
      <c r="R150" s="28" t="n">
        <v>11.0999999999999</v>
      </c>
      <c r="S150" s="28" t="n">
        <v>35.8404384896468</v>
      </c>
      <c r="T150" s="28" t="n">
        <v>33.0998781973203</v>
      </c>
      <c r="U150" s="28" t="n">
        <v>3.38002436053593</v>
      </c>
    </row>
    <row r="151" ht="15" customHeight="1">
      <c r="A151" s="25" t="inlineStr">
        <is>
          <t>REA-AU</t>
        </is>
      </c>
      <c r="B151" s="25" t="inlineStr">
        <is>
          <t>REA Group Ltd.</t>
        </is>
      </c>
      <c r="C151" s="25" t="inlineStr">
        <is>
          <t>Public</t>
        </is>
      </c>
      <c r="D151" s="25" t="inlineStr">
        <is>
          <t>Australia</t>
        </is>
      </c>
      <c r="E151" s="26" t="n">
        <v>1995</v>
      </c>
      <c r="F151" s="27" t="n">
        <v>3418</v>
      </c>
      <c r="G151" s="28" t="n">
        <v>1896.5</v>
      </c>
      <c r="H151" s="25" t="inlineStr">
        <is>
          <t>Pacific</t>
        </is>
      </c>
      <c r="I151" s="25" t="inlineStr">
        <is>
          <t>Victoria (VIC)</t>
        </is>
      </c>
      <c r="J151" s="28" t="n">
        <v>2882.80007105099</v>
      </c>
      <c r="K151" s="25" t="inlineStr">
        <is>
          <t>REA Group Ltd. engages in the provision of property and property-related services on websites and mobile apps across Australia and Asia. It operates through the Property &amp; Online Advertising and Financial Services segments. The Property &amp; Online Advertising segment derives revenue from Australia, Asia and North America operations. The Financial Services segment consists of commissions earned from mortgage broking and home financing solutions offered to consumers. The company was founded in 1995 and is headquartered in Richmond, Australia.</t>
        </is>
      </c>
      <c r="L151" s="25" t="inlineStr">
        <is>
          <t>Marketing and Advertising Services</t>
        </is>
      </c>
      <c r="M151" s="25" t="inlineStr">
        <is>
          <t>Marketing and Printing Services</t>
        </is>
      </c>
      <c r="N151" s="25" t="inlineStr">
        <is>
          <t>Business Services</t>
        </is>
      </c>
      <c r="O151" s="30" t="inlineStr">
        <is>
          <t>Other Marketing and Advertising Services</t>
        </is>
      </c>
      <c r="P151" s="28" t="n">
        <v>851.299999999999</v>
      </c>
      <c r="Q151" s="28" t="n">
        <v>903.59999686814</v>
      </c>
      <c r="R151" s="28" t="n">
        <v>677.9</v>
      </c>
      <c r="S151" s="28" t="n">
        <v>47.6456630635381</v>
      </c>
      <c r="T151" s="28" t="n">
        <v>44.8879514895861</v>
      </c>
      <c r="U151" s="28" t="n">
        <v>35.7447930398102</v>
      </c>
    </row>
    <row r="152" ht="15" customHeight="1">
      <c r="A152" s="25" t="inlineStr">
        <is>
          <t>DMP-AU</t>
        </is>
      </c>
      <c r="B152" s="25" t="inlineStr">
        <is>
          <t>Domino'S Pizza Enterprises Ltd.</t>
        </is>
      </c>
      <c r="C152" s="25" t="inlineStr">
        <is>
          <t>Public</t>
        </is>
      </c>
      <c r="D152" s="25" t="inlineStr">
        <is>
          <t>Australia</t>
        </is>
      </c>
      <c r="E152" s="26" t="n">
        <v>1983</v>
      </c>
      <c r="F152" s="27" t="n">
        <v>537</v>
      </c>
      <c r="G152" s="28" t="n">
        <v>2296.98326721612</v>
      </c>
      <c r="H152" s="25" t="inlineStr">
        <is>
          <t>Pacific</t>
        </is>
      </c>
      <c r="I152" s="25" t="inlineStr">
        <is>
          <t>Queensland (QLD)</t>
        </is>
      </c>
      <c r="J152" s="28" t="n">
        <v>2680.21090199537</v>
      </c>
      <c r="K152" s="25" t="inlineStr">
        <is>
          <t>Domino's Pizza Enterprises Ltd. engages in the management of retail food outlets and franchise services. It operates through the following geographical segments: Australia/New Zealand (ANZ), Europe, and Asia. The company was founded on December 27, 1983, and is headquartered in Brisbane, Australia.</t>
        </is>
      </c>
      <c r="L152" s="25" t="inlineStr">
        <is>
          <t>Restaurants and Bars</t>
        </is>
      </c>
      <c r="M152" s="25" t="inlineStr">
        <is>
          <t>Hospitality Services</t>
        </is>
      </c>
      <c r="N152" s="25" t="inlineStr">
        <is>
          <t>Hospitality Services</t>
        </is>
      </c>
      <c r="O152" s="30" t="inlineStr">
        <is>
          <t>Limited-Service and Fast Food Restaurants</t>
        </is>
      </c>
      <c r="P152" s="28" t="n">
        <v>617.589303169456</v>
      </c>
      <c r="Q152" s="28" t="n">
        <v>322.023762072995</v>
      </c>
      <c r="R152" s="28" t="n">
        <v>-3.70416975641218</v>
      </c>
      <c r="S152" s="28" t="n">
        <v>14.0194211447016</v>
      </c>
      <c r="T152" s="28" t="n">
        <v>26.8869744061287</v>
      </c>
      <c r="U152" s="28" t="n">
        <v>-0.161262374405606</v>
      </c>
    </row>
    <row r="153" ht="15" customHeight="1">
      <c r="A153" s="25" t="inlineStr">
        <is>
          <t>GPT-AU</t>
        </is>
      </c>
      <c r="B153" s="25" t="inlineStr">
        <is>
          <t>GPT Group</t>
        </is>
      </c>
      <c r="C153" s="25" t="inlineStr">
        <is>
          <t>Public</t>
        </is>
      </c>
      <c r="D153" s="25" t="inlineStr">
        <is>
          <t>Australia</t>
        </is>
      </c>
      <c r="E153" s="26" t="n">
        <v>1971</v>
      </c>
      <c r="F153" s="27" t="inlineStr">
        <is>
          <t>-</t>
        </is>
      </c>
      <c r="G153" s="28" t="n">
        <v>992.4</v>
      </c>
      <c r="H153" s="25" t="inlineStr">
        <is>
          <t>Pacific</t>
        </is>
      </c>
      <c r="I153" s="25" t="inlineStr">
        <is>
          <t>New South Wales (NSW)</t>
        </is>
      </c>
      <c r="J153" s="28" t="n">
        <v>15629.7995151908</v>
      </c>
      <c r="K153" s="25" t="inlineStr">
        <is>
          <t>GPT Group operates as a real estate investment property trust. It invests in retail, commercial, hotel, industrial, and office park properties. It operates through the following segments: Retail, Office, Logistics, and Corporate. The Retail segment includes regional and sub-regional shopping centers as well as equity investment in GPT Wholesale Shopping Centre Fund. The Office segment comprises of prime central business district office properties including some associated retail space as well as GPT's equity investment in GPT Wholesale Office Fund. The Logistics segment manages logistics and business park assets and on equity investment in GPT Metro Office Fund. The Corporate segment involves in cash and other assets and borrowings and associated hedges plus resulting net finance costs, management operating costs and income tax expenses. The company was founded by Dick Dusseldorp in 1971 and is headquartered in Sydney, Australia.</t>
        </is>
      </c>
      <c r="L153" s="25" t="inlineStr">
        <is>
          <t>Equity REITs</t>
        </is>
      </c>
      <c r="M153" s="25" t="inlineStr">
        <is>
          <t>Real Estate Investment Trusts (REITs)</t>
        </is>
      </c>
      <c r="N153" s="25" t="inlineStr">
        <is>
          <t>Real Estate</t>
        </is>
      </c>
      <c r="O153" s="30" t="inlineStr">
        <is>
          <t>Equity REITs</t>
        </is>
      </c>
      <c r="P153" s="28" t="n">
        <v>678.3</v>
      </c>
      <c r="Q153" s="28" t="n">
        <v>571.599984721156</v>
      </c>
      <c r="R153" s="28" t="n">
        <v>-200.699999999999</v>
      </c>
      <c r="S153" s="28" t="n">
        <v>57.5977428456268</v>
      </c>
      <c r="T153" s="28" t="n">
        <v>68.3494558645707</v>
      </c>
      <c r="U153" s="28" t="n">
        <v>-20.223700120919</v>
      </c>
    </row>
    <row r="154" ht="15" customHeight="1">
      <c r="A154" s="25" t="inlineStr">
        <is>
          <t>IGO-AU</t>
        </is>
      </c>
      <c r="B154" s="25" t="inlineStr">
        <is>
          <t>IGO Ltd.</t>
        </is>
      </c>
      <c r="C154" s="25" t="inlineStr">
        <is>
          <t>Public</t>
        </is>
      </c>
      <c r="D154" s="25" t="inlineStr">
        <is>
          <t>Australia</t>
        </is>
      </c>
      <c r="E154" s="26" t="n">
        <v>2000</v>
      </c>
      <c r="F154" s="27" t="inlineStr">
        <is>
          <t>-</t>
        </is>
      </c>
      <c r="G154" s="28" t="n">
        <v>499.899999999999</v>
      </c>
      <c r="H154" s="25" t="inlineStr">
        <is>
          <t>Pacific</t>
        </is>
      </c>
      <c r="I154" s="25" t="inlineStr">
        <is>
          <t>Western Australia (WA)</t>
        </is>
      </c>
      <c r="J154" s="28" t="n">
        <v>2356.30005807459</v>
      </c>
      <c r="K154" s="25" t="inlineStr">
        <is>
          <t>IGO Ltd. is a mining and exploration company focused on metals critical to clean energy, primarily nickel, copper, cobalt and lithium. The company's operations include the Nova Nickel-Copper Cobalt Project, located east of Norseman in Western Australia, which is an underground mine and processing operation which supplies nickel and copper concentrates. IGO is also invested in a joint venture with Tianqi Lithium Corporation which holds interests in the Greenbushes Lithium Mine and a downstream lithium hydroxide refinery located in Kwinana, Western Australia. The company is also active in exploration for new nickel, copper and lithium deposits, with significant landholdings in Western Australia, Northern Territory, South Australia and also in Greenland. The company was founded in May 2000 and is headquartered in South Perth, Australia.</t>
        </is>
      </c>
      <c r="L154" s="25" t="inlineStr">
        <is>
          <t>Base Metal Mining</t>
        </is>
      </c>
      <c r="M154" s="25" t="inlineStr">
        <is>
          <t>Metal Ore Mining</t>
        </is>
      </c>
      <c r="N154" s="25" t="inlineStr">
        <is>
          <t>Mining and Mineral Products</t>
        </is>
      </c>
      <c r="O154" s="30" t="inlineStr">
        <is>
          <t>Non-Ferrous Metal Ore Mining</t>
        </is>
      </c>
      <c r="P154" s="28" t="n">
        <v>-176.5</v>
      </c>
      <c r="Q154" s="28" t="n">
        <v>-25.1999985592723</v>
      </c>
      <c r="R154" s="28" t="n">
        <v>-954.6</v>
      </c>
      <c r="S154" s="28" t="n">
        <v>-5.04100820164033</v>
      </c>
      <c r="T154" s="28" t="n">
        <v>-35.3070614122825</v>
      </c>
      <c r="U154" s="28" t="n">
        <v>-190.958191638328</v>
      </c>
    </row>
    <row r="155" ht="15" customHeight="1">
      <c r="A155" s="25" t="inlineStr">
        <is>
          <t>GMG-AU</t>
        </is>
      </c>
      <c r="B155" s="25" t="inlineStr">
        <is>
          <t>Goodman Group</t>
        </is>
      </c>
      <c r="C155" s="25" t="inlineStr">
        <is>
          <t>Public</t>
        </is>
      </c>
      <c r="D155" s="25" t="inlineStr">
        <is>
          <t>Australia</t>
        </is>
      </c>
      <c r="E155" s="26" t="n">
        <v>1989</v>
      </c>
      <c r="F155" s="27" t="n">
        <v>1030</v>
      </c>
      <c r="G155" s="28" t="n">
        <v>2293</v>
      </c>
      <c r="H155" s="25" t="inlineStr">
        <is>
          <t>Pacific</t>
        </is>
      </c>
      <c r="I155" s="25" t="inlineStr">
        <is>
          <t>New South Wales (NSW)</t>
        </is>
      </c>
      <c r="J155" s="28" t="n">
        <v>31631.5007796064</v>
      </c>
      <c r="K155" s="25" t="inlineStr">
        <is>
          <t>Goodman Group operates as a provider of essential infrastructure. It owns, develops and manages high quality, sustainable logistics properties and data centres in major global cities, that are critical to the digital economy. The firm properties portfolio includes logistics and distribution centres, warehouses, light industrial, multi-storey industrial, business parks and data centres. The company was founded by Gregory Leith Goodman in 1989 and is headquartered in Sydney, Australia.</t>
        </is>
      </c>
      <c r="L155" s="25" t="inlineStr">
        <is>
          <t>Equity REITs</t>
        </is>
      </c>
      <c r="M155" s="25" t="inlineStr">
        <is>
          <t>Real Estate Investment Trusts (REITs)</t>
        </is>
      </c>
      <c r="N155" s="25" t="inlineStr">
        <is>
          <t>Real Estate</t>
        </is>
      </c>
      <c r="O155" s="30" t="inlineStr">
        <is>
          <t>Equity REITs</t>
        </is>
      </c>
      <c r="P155" s="28" t="n">
        <v>1502.89999999999</v>
      </c>
      <c r="Q155" s="28" t="n">
        <v>496.900002105509</v>
      </c>
      <c r="R155" s="28" t="n">
        <v>1666.39999999999</v>
      </c>
      <c r="S155" s="28" t="n">
        <v>21.6703009158308</v>
      </c>
      <c r="T155" s="28" t="n">
        <v>65.5429568251199</v>
      </c>
      <c r="U155" s="28" t="n">
        <v>72.6733536851287</v>
      </c>
    </row>
    <row r="156" ht="15" customHeight="1">
      <c r="A156" s="25" t="inlineStr">
        <is>
          <t>MTS-AU</t>
        </is>
      </c>
      <c r="B156" s="25" t="inlineStr">
        <is>
          <t>Metcash Ltd.</t>
        </is>
      </c>
      <c r="C156" s="25" t="inlineStr">
        <is>
          <t>Public</t>
        </is>
      </c>
      <c r="D156" s="25" t="inlineStr">
        <is>
          <t>Australia</t>
        </is>
      </c>
      <c r="E156" s="26" t="n">
        <v>1927</v>
      </c>
      <c r="F156" s="27" t="n">
        <v>11500</v>
      </c>
      <c r="G156" s="28" t="n">
        <v>17322.9999999999</v>
      </c>
      <c r="H156" s="25" t="inlineStr">
        <is>
          <t>Pacific</t>
        </is>
      </c>
      <c r="I156" s="25" t="inlineStr">
        <is>
          <t>New South Wales (NSW)</t>
        </is>
      </c>
      <c r="J156" s="28" t="n">
        <v>6892.0998528921</v>
      </c>
      <c r="K156" s="25" t="inlineStr">
        <is>
          <t>Metcash Ltd. engages in wholesaling, distributing, supplying, and supporting independent retailers and several other businesses networks. It operates through the following segments: Food, Liquor, and Hardware. The Food segment includes the distribution of a range of products and services to independent supermarket and convenience retail outlets. The Liquor segment offers liquor products to independent retail outlets and hotels. The Hardware segment consists of hardware products distributed to independent retail outlets and the operation of company owned retail stores. The company was founded by Joe David in 1927 and is headquartered in Sydney, Australia.</t>
        </is>
      </c>
      <c r="L156" s="25" t="inlineStr">
        <is>
          <t>Retail Distributors</t>
        </is>
      </c>
      <c r="M156" s="25" t="inlineStr">
        <is>
          <t>Food and Beverage Retail</t>
        </is>
      </c>
      <c r="N156" s="25" t="inlineStr">
        <is>
          <t>Food and Staples Retail</t>
        </is>
      </c>
      <c r="O156" s="30" t="inlineStr">
        <is>
          <t>General Line Grocery Retail</t>
        </is>
      </c>
      <c r="P156" s="28" t="n">
        <v>840.899999999998</v>
      </c>
      <c r="Q156" s="28" t="n">
        <v>700.400003771456</v>
      </c>
      <c r="R156" s="28" t="n">
        <v>283.3</v>
      </c>
      <c r="S156" s="28" t="n">
        <v>4.04317958783121</v>
      </c>
      <c r="T156" s="28" t="n">
        <v>4.85424002770882</v>
      </c>
      <c r="U156" s="28" t="n">
        <v>1.63539802574612</v>
      </c>
    </row>
    <row r="157" ht="15" customHeight="1">
      <c r="A157" s="25" t="inlineStr">
        <is>
          <t>FSA-AU</t>
        </is>
      </c>
      <c r="B157" s="25" t="inlineStr">
        <is>
          <t>FSA Group Ltd.</t>
        </is>
      </c>
      <c r="C157" s="25" t="inlineStr">
        <is>
          <t>Public</t>
        </is>
      </c>
      <c r="D157" s="25" t="inlineStr">
        <is>
          <t>Australia</t>
        </is>
      </c>
      <c r="E157" s="26" t="n">
        <v>2000</v>
      </c>
      <c r="F157" s="27" t="n">
        <v>95</v>
      </c>
      <c r="G157" s="28" t="n">
        <v>123.089933</v>
      </c>
      <c r="H157" s="25" t="inlineStr">
        <is>
          <t>Pacific</t>
        </is>
      </c>
      <c r="I157" s="25" t="inlineStr">
        <is>
          <t>New South Wales (NSW)</t>
        </is>
      </c>
      <c r="J157" s="28" t="n">
        <v>983.920207250208</v>
      </c>
      <c r="K157" s="25" t="inlineStr">
        <is>
          <t>FSA Group Ltd. engages in the provision of debt solutions and direct lending services to individuals and businesses. It operates through the following business segments: Services, Lending, and Other. The Services segment offers a range of services to assist clients to enter into a payment arrangement with their creditors, including informal arrangements, debt agreements, personal insolvency agreements, and bankruptcy. The Lending segment focuses on offering home loans and personal loans to assist clients to purchase a property or consolidate their debt, or to purchase a motor vehicle and asset finance to SMEs wishing to purchase a vehicle and business-critical equipment. The Other segment represents the unrealized gain or loss on fair value movement of derivatives, parent entity services and intercompany investments, balances, and transactions, which are eliminated upon consolidation. The company was founded in February 2000 and is headquartered in Darlinghurst, Australia.</t>
        </is>
      </c>
      <c r="L157" s="25" t="inlineStr">
        <is>
          <t>Consulting/Business Process Outsourcing Services</t>
        </is>
      </c>
      <c r="M157" s="25" t="inlineStr">
        <is>
          <t>Other Professional Services</t>
        </is>
      </c>
      <c r="N157" s="25" t="inlineStr">
        <is>
          <t>Business Services</t>
        </is>
      </c>
      <c r="O157" s="30" t="inlineStr">
        <is>
          <t>Other Consulting and Business Process Outsourcing</t>
        </is>
      </c>
      <c r="P157" s="28" t="n">
        <v>121.514625</v>
      </c>
      <c r="Q157" s="28" t="n">
        <v>88.7551104566808</v>
      </c>
      <c r="R157" s="28" t="n">
        <v>10.5199899999999</v>
      </c>
      <c r="S157" s="28" t="n">
        <v>72.105904875259</v>
      </c>
      <c r="T157" s="28" t="n">
        <v>98.7201975323197</v>
      </c>
      <c r="U157" s="28" t="n">
        <v>8.546588452526009</v>
      </c>
    </row>
    <row r="158" ht="15" customHeight="1">
      <c r="A158" s="25" t="inlineStr">
        <is>
          <t>CHC-AU</t>
        </is>
      </c>
      <c r="B158" s="25" t="inlineStr">
        <is>
          <t>Charter Hall Group</t>
        </is>
      </c>
      <c r="C158" s="25" t="inlineStr">
        <is>
          <t>Public</t>
        </is>
      </c>
      <c r="D158" s="25" t="inlineStr">
        <is>
          <t>Australia</t>
        </is>
      </c>
      <c r="E158" s="26" t="n">
        <v>1991</v>
      </c>
      <c r="F158" s="27" t="inlineStr">
        <is>
          <t>-</t>
        </is>
      </c>
      <c r="G158" s="28" t="n">
        <v>687.799999999999</v>
      </c>
      <c r="H158" s="25" t="inlineStr">
        <is>
          <t>Pacific</t>
        </is>
      </c>
      <c r="I158" s="25" t="inlineStr">
        <is>
          <t>New South Wales (NSW)</t>
        </is>
      </c>
      <c r="J158" s="28" t="n">
        <v>3584.40008834298</v>
      </c>
      <c r="K158" s="25" t="inlineStr">
        <is>
          <t>Charter Hall Group engages in managing and investing in office, retail, and industrial properties. It operates through the following segments: Property Investments, Development investments, and Funds Management. The Property Investments segment comprises an investment portfolio of property funds. The Development investments segment comprises investments in developments. The Funds Management segment offers investment management services and real estate management services. The company was founded by Cedric Fuchs and David John Southon in 1991 and is headquartered in Sydney, Australia.</t>
        </is>
      </c>
      <c r="L158" s="25" t="inlineStr">
        <is>
          <t>Equity REITs</t>
        </is>
      </c>
      <c r="M158" s="25" t="inlineStr">
        <is>
          <t>Real Estate Investment Trusts (REITs)</t>
        </is>
      </c>
      <c r="N158" s="25" t="inlineStr">
        <is>
          <t>Real Estate</t>
        </is>
      </c>
      <c r="O158" s="30" t="inlineStr">
        <is>
          <t>Equity REITs</t>
        </is>
      </c>
      <c r="P158" s="28" t="n">
        <v>677.4</v>
      </c>
      <c r="Q158" s="28" t="n">
        <v>442.300005227086</v>
      </c>
      <c r="R158" s="28" t="n">
        <v>225.8</v>
      </c>
      <c r="S158" s="28" t="n">
        <v>64.3064844431521</v>
      </c>
      <c r="T158" s="28" t="n">
        <v>98.4879325385286</v>
      </c>
      <c r="U158" s="28" t="n">
        <v>32.8293108461762</v>
      </c>
    </row>
    <row r="159" ht="15" customHeight="1">
      <c r="A159" s="25" t="inlineStr">
        <is>
          <t>1208-HK</t>
        </is>
      </c>
      <c r="B159" s="25" t="inlineStr">
        <is>
          <t>MMG Ltd.</t>
        </is>
      </c>
      <c r="C159" s="25" t="inlineStr">
        <is>
          <t>Public</t>
        </is>
      </c>
      <c r="D159" s="25" t="inlineStr">
        <is>
          <t>Australia</t>
        </is>
      </c>
      <c r="E159" s="26" t="n">
        <v>1988</v>
      </c>
      <c r="F159" s="27" t="n">
        <v>5195</v>
      </c>
      <c r="G159" s="28" t="n">
        <v>6790.79201705416</v>
      </c>
      <c r="H159" s="25" t="inlineStr">
        <is>
          <t>Pacific</t>
        </is>
      </c>
      <c r="I159" s="25" t="inlineStr">
        <is>
          <t>Victoria (VIC)</t>
        </is>
      </c>
      <c r="J159" s="28" t="n">
        <v>24203.9891595551</v>
      </c>
      <c r="K159" s="25" t="inlineStr">
        <is>
          <t>MMG Ltd. engages in the exploration, development and mining of zinc, copper, gold, silver and lead deposits. It operates through the following segments: Las Bambas, Kinsevere, Dugald River, Rosebery, and Other. The Las Bambas segment is a large open-pit, scalable, long-life copper, and moly mining operation with prospective exploration options. The Kinsevere segment includes the open-pit copper mining operation located in the Haut-Katanga Province of the Democratic Republic of Congo. The Dugald River segment refers to the Dugald River mine which is an underground zinc mining operation located near Cloncurry in Northwest Queensland. The Rosebery segment covers an underground polymetallic base metal mining operation located on Tasmania's west coast. The Other segment relates to the Century mine located in North-West Queensland Australia. The company was founded on July 29, 1988 and is headquartered in Southbank, Australia.</t>
        </is>
      </c>
      <c r="L159" s="25" t="inlineStr">
        <is>
          <t>Base Metal Mining</t>
        </is>
      </c>
      <c r="M159" s="25" t="inlineStr">
        <is>
          <t>Metal Ore Mining</t>
        </is>
      </c>
      <c r="N159" s="25" t="inlineStr">
        <is>
          <t>Mining and Mineral Products</t>
        </is>
      </c>
      <c r="O159" s="30" t="inlineStr">
        <is>
          <t>Non-Ferrous Metal Ore Mining</t>
        </is>
      </c>
      <c r="P159" s="28" t="n">
        <v>2154.7938680655</v>
      </c>
      <c r="Q159" s="28" t="n">
        <v>3248.03375989788</v>
      </c>
      <c r="R159" s="28" t="n">
        <v>245.452140462821</v>
      </c>
      <c r="S159" s="28" t="n">
        <v>47.829969642399</v>
      </c>
      <c r="T159" s="28" t="n">
        <v>31.731112698696</v>
      </c>
      <c r="U159" s="28" t="n">
        <v>3.61448472941598</v>
      </c>
    </row>
    <row r="160" ht="15" customHeight="1">
      <c r="A160" s="25" t="inlineStr">
        <is>
          <t>MSB-AU</t>
        </is>
      </c>
      <c r="B160" s="25" t="inlineStr">
        <is>
          <t>Mesoblast Ltd.</t>
        </is>
      </c>
      <c r="C160" s="25" t="inlineStr">
        <is>
          <t>Public</t>
        </is>
      </c>
      <c r="D160" s="25" t="inlineStr">
        <is>
          <t>Australia</t>
        </is>
      </c>
      <c r="E160" s="26" t="n">
        <v>2004</v>
      </c>
      <c r="F160" s="27" t="n">
        <v>81</v>
      </c>
      <c r="G160" s="28" t="n">
        <v>26.5552456280989</v>
      </c>
      <c r="H160" s="25" t="inlineStr">
        <is>
          <t>Pacific</t>
        </is>
      </c>
      <c r="I160" s="25" t="inlineStr">
        <is>
          <t>Victoria (VIC)</t>
        </is>
      </c>
      <c r="J160" s="28" t="n">
        <v>1197.3495374146</v>
      </c>
      <c r="K160" s="25" t="inlineStr">
        <is>
          <t>Mesoblast Ltd. is a biopharmaceutical company, which engages in the research, development, and market of mesenchymal lineage adult stem cell technology platform. Its medicines target cardiovascular diseases, spine orthopedic disorders, oncology and hematology, immune-mediated, and inflammatory diseases. The company was founded by Silviu Itescu on June 8, 2004 and is headquartered in Melbourne, Australia.</t>
        </is>
      </c>
      <c r="L160" s="25" t="inlineStr">
        <is>
          <t>Transplantation Biopharmaceuticals</t>
        </is>
      </c>
      <c r="M160" s="25" t="inlineStr">
        <is>
          <t>Other Biopharmaceuticals</t>
        </is>
      </c>
      <c r="N160" s="25" t="inlineStr">
        <is>
          <t>Biopharmaceuticals</t>
        </is>
      </c>
      <c r="O160" s="30" t="inlineStr">
        <is>
          <t>Transplantation Biopharmaceuticals</t>
        </is>
      </c>
      <c r="P160" s="28" t="n">
        <v>8.75189744272971</v>
      </c>
      <c r="Q160" s="28" t="n">
        <v>-86.6666372024312</v>
      </c>
      <c r="R160" s="28" t="n">
        <v>-157.716356491759</v>
      </c>
      <c r="S160" s="28" t="n">
        <v>-326.363541176569</v>
      </c>
      <c r="T160" s="28" t="n">
        <v>32.9573206186767</v>
      </c>
      <c r="U160" s="28" t="n">
        <v>-593.917897429934</v>
      </c>
    </row>
    <row r="161" ht="15" customHeight="1">
      <c r="A161" s="25" t="inlineStr">
        <is>
          <t>VCX-AU</t>
        </is>
      </c>
      <c r="B161" s="25" t="inlineStr">
        <is>
          <t>Vicinity Centres</t>
        </is>
      </c>
      <c r="C161" s="25" t="inlineStr">
        <is>
          <t>Public</t>
        </is>
      </c>
      <c r="D161" s="25" t="inlineStr">
        <is>
          <t>Australia</t>
        </is>
      </c>
      <c r="E161" s="26" t="n">
        <v>1985</v>
      </c>
      <c r="F161" s="27" t="n">
        <v>1246</v>
      </c>
      <c r="G161" s="28" t="n">
        <v>1330.1</v>
      </c>
      <c r="H161" s="25" t="inlineStr">
        <is>
          <t>Pacific</t>
        </is>
      </c>
      <c r="I161" s="25" t="inlineStr">
        <is>
          <t>Victoria (VIC)</t>
        </is>
      </c>
      <c r="J161" s="28" t="n">
        <v>16342.5004027858</v>
      </c>
      <c r="K161" s="25" t="inlineStr">
        <is>
          <t>Vicinity Centres operates as a real estate investment trust, which engages in the development, operation, and management of shopping centers. It operates through the following business segments: Property Investment and Strategic Partnerships. The Property Investment segment comprises of net property income derived from investment in retail property. The Strategic Partnerships segement offers property management, development, leasing, and management of wholesale property funds. The company was founded on February 18, 1985 and is headquartered in Chadstone, Australia.</t>
        </is>
      </c>
      <c r="L161" s="25" t="inlineStr">
        <is>
          <t>Equity REITs</t>
        </is>
      </c>
      <c r="M161" s="25" t="inlineStr">
        <is>
          <t>Real Estate Investment Trusts (REITs)</t>
        </is>
      </c>
      <c r="N161" s="25" t="inlineStr">
        <is>
          <t>Real Estate</t>
        </is>
      </c>
      <c r="O161" s="30" t="inlineStr">
        <is>
          <t>Equity REITs</t>
        </is>
      </c>
      <c r="P161" s="28" t="n">
        <v>949</v>
      </c>
      <c r="Q161" s="28" t="n">
        <v>983.100006660958</v>
      </c>
      <c r="R161" s="28" t="n">
        <v>1004.59999999999</v>
      </c>
      <c r="S161" s="28" t="n">
        <v>73.9117359597023</v>
      </c>
      <c r="T161" s="28" t="n">
        <v>71.34801894594391</v>
      </c>
      <c r="U161" s="28" t="n">
        <v>75.5281557777611</v>
      </c>
    </row>
    <row r="162" ht="15" customHeight="1">
      <c r="A162" s="25" t="inlineStr">
        <is>
          <t>REX-AU</t>
        </is>
      </c>
      <c r="B162" s="25" t="inlineStr">
        <is>
          <t>Regional Express Holdings Ltd.</t>
        </is>
      </c>
      <c r="C162" s="25" t="inlineStr">
        <is>
          <t>Public</t>
        </is>
      </c>
      <c r="D162" s="25" t="inlineStr">
        <is>
          <t>Australia</t>
        </is>
      </c>
      <c r="E162" s="26" t="n">
        <v>2002</v>
      </c>
      <c r="F162" s="27" t="inlineStr">
        <is>
          <t>-</t>
        </is>
      </c>
      <c r="G162" s="28" t="n">
        <v>636.504999999999</v>
      </c>
      <c r="H162" s="25" t="inlineStr">
        <is>
          <t>Pacific</t>
        </is>
      </c>
      <c r="I162" s="25" t="inlineStr">
        <is>
          <t>New South Wales (NSW)</t>
        </is>
      </c>
      <c r="J162" s="28" t="n">
        <v>681.688013449114</v>
      </c>
      <c r="K162" s="25" t="inlineStr">
        <is>
          <t>Regional Express Holdings Ltd. engages in the provision of air services including the transportation of passengers and freight along with aeromedical services and pilot training. The firm operates through the following segments: Regular Public Transport, Charter and Other, and Training. The company was founded on February 12, 2002 and is headquartered in Mascot, Australia.</t>
        </is>
      </c>
      <c r="L162" s="25" t="inlineStr">
        <is>
          <t>Air Passenger Transportation</t>
        </is>
      </c>
      <c r="M162" s="25" t="inlineStr">
        <is>
          <t>Passenger Transportation</t>
        </is>
      </c>
      <c r="N162" s="25" t="inlineStr">
        <is>
          <t>Industrial Services</t>
        </is>
      </c>
      <c r="O162" s="30" t="inlineStr">
        <is>
          <t>Asia/Pacific Air Passenger Service Providers</t>
        </is>
      </c>
      <c r="P162" s="28" t="n">
        <v>24.916</v>
      </c>
      <c r="Q162" s="28" t="n">
        <v>29.2589947759033</v>
      </c>
      <c r="R162" s="28" t="n">
        <v>14.362</v>
      </c>
      <c r="S162" s="28" t="n">
        <v>4.5968217060353</v>
      </c>
      <c r="T162" s="28" t="n">
        <v>3.91450184994619</v>
      </c>
      <c r="U162" s="28" t="n">
        <v>2.25638447459172</v>
      </c>
    </row>
    <row r="163" ht="15" customHeight="1">
      <c r="A163" s="25" t="inlineStr">
        <is>
          <t>CAR-AU</t>
        </is>
      </c>
      <c r="B163" s="25" t="inlineStr">
        <is>
          <t>CAR Group Ltd.</t>
        </is>
      </c>
      <c r="C163" s="25" t="inlineStr">
        <is>
          <t>Public</t>
        </is>
      </c>
      <c r="D163" s="25" t="inlineStr">
        <is>
          <t>Australia</t>
        </is>
      </c>
      <c r="E163" s="26" t="n">
        <v>1996</v>
      </c>
      <c r="F163" s="27" t="n">
        <v>2500</v>
      </c>
      <c r="G163" s="28" t="n">
        <v>1183.85599999999</v>
      </c>
      <c r="H163" s="25" t="inlineStr">
        <is>
          <t>Pacific</t>
        </is>
      </c>
      <c r="I163" s="25" t="inlineStr">
        <is>
          <t>Victoria (VIC)</t>
        </is>
      </c>
      <c r="J163" s="28" t="n">
        <v>4889.78712051623</v>
      </c>
      <c r="K163" s="25" t="inlineStr">
        <is>
          <t>CAR Group Ltd. engages in the operation of online automotive, motorcycle and marine classifieds business. It provides car buying and selling services in Australia. It also provides online advertising solutions to media agencies and its clients, dealers, industry organizations and many other businesses. The firm operates through following segments: Online Advertising; Data, Research and Services; Investments; North America; Latin America; and Asia. The Online Advertising Services segment comprises of classified, display advertising services and finance commission. The Data and Research and Services segment offers software, analysis, research and reporting, valuation services, website development and hosting as well as photography services. The Investments segment includes online retail and wholesale tyre sales and inspection services. The North America segment includes online vehicle classifieds, display advertising services and automotive data services in United States of America and Canada. The Latin America segment includes online automotive classifieds and media advertising services in Brazil and Chile. The Asia segment provides online automotive classifieds, media advertising services and automotive data services in South Korea, Malaysia, China, Thailand and Indonesia. The company was founded by Gregory Paul Roebuck and Walter J. Pisciotta on June 18, 1996 and is headquartered in Richmond, Australia.</t>
        </is>
      </c>
      <c r="L163" s="25" t="inlineStr">
        <is>
          <t>Consumer Data and Services</t>
        </is>
      </c>
      <c r="M163" s="25" t="inlineStr">
        <is>
          <t>Internet and Data Services</t>
        </is>
      </c>
      <c r="N163" s="25" t="inlineStr">
        <is>
          <t>Software and Consulting</t>
        </is>
      </c>
      <c r="O163" s="30" t="inlineStr">
        <is>
          <t>Information and News Content Providers and Sites</t>
        </is>
      </c>
      <c r="P163" s="28" t="n">
        <v>831.2899999999991</v>
      </c>
      <c r="Q163" s="28" t="n">
        <v>620.253997369281</v>
      </c>
      <c r="R163" s="28" t="n">
        <v>275.489</v>
      </c>
      <c r="S163" s="28" t="n">
        <v>52.3926896514441</v>
      </c>
      <c r="T163" s="28" t="n">
        <v>70.2188441837521</v>
      </c>
      <c r="U163" s="28" t="n">
        <v>23.2704822208106</v>
      </c>
    </row>
    <row r="164" ht="15" customHeight="1">
      <c r="A164" s="25" t="inlineStr">
        <is>
          <t>AUB-AU</t>
        </is>
      </c>
      <c r="B164" s="25" t="inlineStr">
        <is>
          <t>AUB Group Ltd.</t>
        </is>
      </c>
      <c r="C164" s="25" t="inlineStr">
        <is>
          <t>Public</t>
        </is>
      </c>
      <c r="D164" s="25" t="inlineStr">
        <is>
          <t>Australia</t>
        </is>
      </c>
      <c r="E164" s="26" t="n">
        <v>1985</v>
      </c>
      <c r="F164" s="27" t="n">
        <v>2859</v>
      </c>
      <c r="G164" s="28" t="n">
        <v>1128.171</v>
      </c>
      <c r="H164" s="25" t="inlineStr">
        <is>
          <t>Pacific</t>
        </is>
      </c>
      <c r="I164" s="25" t="inlineStr">
        <is>
          <t>New South Wales (NSW)</t>
        </is>
      </c>
      <c r="J164" s="28" t="n">
        <v>4733.35711666077</v>
      </c>
      <c r="K164" s="25" t="inlineStr">
        <is>
          <t>AUB Group Ltd. engages in the provision of equity-based insurance broker network. It operates through the following segments: Australian Broking, Agencies, New Zealand Broking, International, and Support Services. The Australian Broking segment provides insurance broking and advisory services primarily to SME clients. The New Zealand Broking segment focuses on the provision of broking and advisory services primarily to SME clients in New Zealand. The International segment includes wholesale and retail broking and Managing General Agents. The Support Services segment deals with the provision of a range of services to support the Australian broking, agencies, New Zealand, broking and Tysers segments, and external clients. The company was founded on November 7, 1985 and is headquartered in North Sydney, Australia.</t>
        </is>
      </c>
      <c r="L164" s="25" t="inlineStr">
        <is>
          <t>Insurance Brokerage</t>
        </is>
      </c>
      <c r="M164" s="25" t="inlineStr">
        <is>
          <t>Insurance</t>
        </is>
      </c>
      <c r="N164" s="25" t="inlineStr">
        <is>
          <t>Insurance</t>
        </is>
      </c>
      <c r="O164" s="30" t="inlineStr">
        <is>
          <t>Insurance Brokerage</t>
        </is>
      </c>
      <c r="P164" s="28" t="n">
        <v>902.162999999999</v>
      </c>
      <c r="Q164" s="28" t="n">
        <v>271.571995282382</v>
      </c>
      <c r="R164" s="28" t="n">
        <v>180.054999999999</v>
      </c>
      <c r="S164" s="28" t="n">
        <v>24.0718827199068</v>
      </c>
      <c r="T164" s="28" t="n">
        <v>79.96686672499121</v>
      </c>
      <c r="U164" s="28" t="n">
        <v>15.9599032416185</v>
      </c>
    </row>
    <row r="165" ht="15" customHeight="1">
      <c r="A165" s="25" t="inlineStr">
        <is>
          <t>OBM-AU</t>
        </is>
      </c>
      <c r="B165" s="25" t="inlineStr">
        <is>
          <t>Ora Banda Mining Ltd.</t>
        </is>
      </c>
      <c r="C165" s="25" t="inlineStr">
        <is>
          <t>Public</t>
        </is>
      </c>
      <c r="D165" s="25" t="inlineStr">
        <is>
          <t>Australia</t>
        </is>
      </c>
      <c r="E165" s="26" t="n">
        <v>2002</v>
      </c>
      <c r="F165" s="27" t="inlineStr">
        <is>
          <t>-</t>
        </is>
      </c>
      <c r="G165" s="28" t="n">
        <v>404.291999999999</v>
      </c>
      <c r="H165" s="25" t="inlineStr">
        <is>
          <t>Pacific</t>
        </is>
      </c>
      <c r="I165" s="25" t="inlineStr">
        <is>
          <t>Western Australia (WA)</t>
        </is>
      </c>
      <c r="J165" s="28" t="n">
        <v>444.422010953456</v>
      </c>
      <c r="K165" s="25" t="inlineStr">
        <is>
          <t>Ora Banda Mining Ltd. engages in the development and exploration of gold. It holds interest in the following projects: Central Davyhurst, Mount Ida, Lady Ida, Riverina-Mulline, Callion, Walhalla, and Siberia. The company was founded on March 26, 2002 and is headquartered in West Perth, Australia.</t>
        </is>
      </c>
      <c r="L165" s="25" t="inlineStr">
        <is>
          <t>Precious Metal Mining</t>
        </is>
      </c>
      <c r="M165" s="25" t="inlineStr">
        <is>
          <t>Metal Ore Mining</t>
        </is>
      </c>
      <c r="N165" s="25" t="inlineStr">
        <is>
          <t>Mining and Mineral Products</t>
        </is>
      </c>
      <c r="O165" s="30" t="inlineStr">
        <is>
          <t>Asia/Pacific Gold Mining</t>
        </is>
      </c>
      <c r="P165" s="28" t="n">
        <v>139.884999999999</v>
      </c>
      <c r="Q165" s="28" t="n">
        <v>184.593004280783</v>
      </c>
      <c r="R165" s="28" t="n">
        <v>186.079999999999</v>
      </c>
      <c r="S165" s="28" t="n">
        <v>45.6583360541391</v>
      </c>
      <c r="T165" s="28" t="n">
        <v>34.5999920849287</v>
      </c>
      <c r="U165" s="28" t="n">
        <v>46.0261395229191</v>
      </c>
    </row>
    <row r="166" ht="15" customHeight="1">
      <c r="A166" s="25" t="inlineStr">
        <is>
          <t>SIG-AU</t>
        </is>
      </c>
      <c r="B166" s="25" t="inlineStr">
        <is>
          <t>Sigma Healthcare Ltd.</t>
        </is>
      </c>
      <c r="C166" s="25" t="inlineStr">
        <is>
          <t>Public</t>
        </is>
      </c>
      <c r="D166" s="25" t="inlineStr">
        <is>
          <t>Australia</t>
        </is>
      </c>
      <c r="E166" s="26" t="n">
        <v>1999</v>
      </c>
      <c r="F166" s="27" t="inlineStr">
        <is>
          <t>-</t>
        </is>
      </c>
      <c r="G166" s="28" t="n">
        <v>14404.404</v>
      </c>
      <c r="H166" s="25" t="inlineStr">
        <is>
          <t>Pacific</t>
        </is>
      </c>
      <c r="I166" s="25" t="inlineStr">
        <is>
          <t>Victoria (VIC)</t>
        </is>
      </c>
      <c r="J166" s="28" t="n">
        <v>8712.551214734051</v>
      </c>
      <c r="K166" s="25" t="inlineStr">
        <is>
          <t>Sigma Healthcare Ltd. engages in the manufacture and distribution of pharmaceutical products through pharmacy, grocery channels, and private labels. The firm's activities include wholesale distribution of pharmaceutical goods and medical consumables to community pharmacies, including the provision of retail support services to the branded network of pharmacy members, dose administration aid services, technology and data analytics solutions to the customers. The company was founded in 1912 and is headquartered in Clayton, Australia.</t>
        </is>
      </c>
      <c r="L166" s="25" t="inlineStr">
        <is>
          <t>Healthcare Distributors</t>
        </is>
      </c>
      <c r="M166" s="25" t="inlineStr">
        <is>
          <t>Healthcare Support Services</t>
        </is>
      </c>
      <c r="N166" s="25" t="inlineStr">
        <is>
          <t>Healthcare Services</t>
        </is>
      </c>
      <c r="O166" s="30" t="inlineStr">
        <is>
          <t>Wholesale Pharmaceuticals Distributors</t>
        </is>
      </c>
      <c r="P166" s="28" t="n">
        <v>3456.6912</v>
      </c>
      <c r="Q166" s="28" t="n">
        <v>1985.53679646668</v>
      </c>
      <c r="R166" s="28" t="n">
        <v>1271.79359999999</v>
      </c>
      <c r="S166" s="28" t="n">
        <v>13.78423432167</v>
      </c>
      <c r="T166" s="28" t="n">
        <v>23.9974607765792</v>
      </c>
      <c r="U166" s="28" t="n">
        <v>8.829199736413949</v>
      </c>
    </row>
    <row r="167" ht="15" customHeight="1">
      <c r="A167" s="25" t="inlineStr">
        <is>
          <t>BVS-AU</t>
        </is>
      </c>
      <c r="B167" s="25" t="inlineStr">
        <is>
          <t>Bravura Solutions Ltd.</t>
        </is>
      </c>
      <c r="C167" s="25" t="inlineStr">
        <is>
          <t>Public</t>
        </is>
      </c>
      <c r="D167" s="25" t="inlineStr">
        <is>
          <t>Australia</t>
        </is>
      </c>
      <c r="E167" s="26" t="n">
        <v>2004</v>
      </c>
      <c r="F167" s="27" t="n">
        <v>1002</v>
      </c>
      <c r="G167" s="28" t="n">
        <v>312.973999999999</v>
      </c>
      <c r="H167" s="25" t="inlineStr">
        <is>
          <t>Pacific</t>
        </is>
      </c>
      <c r="I167" s="25" t="inlineStr">
        <is>
          <t>New South Wales (NSW)</t>
        </is>
      </c>
      <c r="J167" s="28" t="n">
        <v>182.012004485963</v>
      </c>
      <c r="K167" s="25" t="inlineStr">
        <is>
          <t>Bravura Solutions Ltd. engages in the development, licensing, and maintenance of specialized administration and management software applications. It operates through Europe and South Africa (EMEA); and Australia and New Zealand (APAC) geographical segments. The company was founded by Simon Kenneth Woodfull and Iain Maxwell Dunstan on December 9, 2004 and is headquartered in Sydney, Australia.</t>
        </is>
      </c>
      <c r="L167" s="25" t="inlineStr">
        <is>
          <t>Finance Software and Services</t>
        </is>
      </c>
      <c r="M167" s="25" t="inlineStr">
        <is>
          <t>Finance Software and Services</t>
        </is>
      </c>
      <c r="N167" s="25" t="inlineStr">
        <is>
          <t>Specialty Finance and Services</t>
        </is>
      </c>
      <c r="O167" s="30" t="inlineStr">
        <is>
          <t>Finance Industry Software</t>
        </is>
      </c>
      <c r="P167" s="28" t="n">
        <v>119.424</v>
      </c>
      <c r="Q167" s="28" t="n">
        <v>106.8459989281</v>
      </c>
      <c r="R167" s="28" t="n">
        <v>74.22799999999989</v>
      </c>
      <c r="S167" s="28" t="n">
        <v>34.1389380587525</v>
      </c>
      <c r="T167" s="28" t="n">
        <v>38.1578022455539</v>
      </c>
      <c r="U167" s="28" t="n">
        <v>23.7169860755206</v>
      </c>
    </row>
    <row r="168" ht="15" customHeight="1">
      <c r="A168" s="25" t="inlineStr">
        <is>
          <t>NGI-AU</t>
        </is>
      </c>
      <c r="B168" s="25" t="inlineStr">
        <is>
          <t>Navigator Global Investments Ltd.</t>
        </is>
      </c>
      <c r="C168" s="25" t="inlineStr">
        <is>
          <t>Public</t>
        </is>
      </c>
      <c r="D168" s="25" t="inlineStr">
        <is>
          <t>Australia</t>
        </is>
      </c>
      <c r="E168" s="26" t="n">
        <v>2002</v>
      </c>
      <c r="F168" s="27" t="n">
        <v>290</v>
      </c>
      <c r="G168" s="28" t="n">
        <v>688.4568640084869</v>
      </c>
      <c r="H168" s="25" t="inlineStr">
        <is>
          <t>Pacific</t>
        </is>
      </c>
      <c r="I168" s="25" t="inlineStr">
        <is>
          <t>Queensland (QLD)</t>
        </is>
      </c>
      <c r="J168" s="28" t="n">
        <v>1432.6589198846</v>
      </c>
      <c r="K168" s="25" t="inlineStr">
        <is>
          <t>Navigator Global Investments Ltd. operates as a fund management company. The firm offers open-ended products and structured products to retail, wholesale, and institutional investors. The company was founded in 1998 and is headquartered in Toowong, Australia.</t>
        </is>
      </c>
      <c r="L168" s="25" t="inlineStr">
        <is>
          <t>Asset Management and Financial Advisory Services</t>
        </is>
      </c>
      <c r="M168" s="25" t="inlineStr">
        <is>
          <t>Investment Services</t>
        </is>
      </c>
      <c r="N168" s="25" t="inlineStr">
        <is>
          <t>Investment Services</t>
        </is>
      </c>
      <c r="O168" s="30" t="inlineStr">
        <is>
          <t>Alternative Investment Managers</t>
        </is>
      </c>
      <c r="P168" s="28" t="n">
        <v>311.249775409003</v>
      </c>
      <c r="Q168" s="28" t="n">
        <v>229.014674136847</v>
      </c>
      <c r="R168" s="28" t="n">
        <v>184.305572081703</v>
      </c>
      <c r="S168" s="28" t="n">
        <v>33.2649265295402</v>
      </c>
      <c r="T168" s="28" t="n">
        <v>45.209771545711</v>
      </c>
      <c r="U168" s="28" t="n">
        <v>26.7708235209682</v>
      </c>
    </row>
    <row r="169" ht="15" customHeight="1">
      <c r="A169" s="25" t="inlineStr">
        <is>
          <t>EMR-AU</t>
        </is>
      </c>
      <c r="B169" s="25" t="inlineStr">
        <is>
          <t>Emerald Resources NL</t>
        </is>
      </c>
      <c r="C169" s="25" t="inlineStr">
        <is>
          <t>Public</t>
        </is>
      </c>
      <c r="D169" s="25" t="inlineStr">
        <is>
          <t>Australia</t>
        </is>
      </c>
      <c r="E169" s="26" t="n">
        <v>1969</v>
      </c>
      <c r="F169" s="27" t="n">
        <v>328</v>
      </c>
      <c r="G169" s="28" t="n">
        <v>430.414</v>
      </c>
      <c r="H169" s="25" t="inlineStr">
        <is>
          <t>Pacific</t>
        </is>
      </c>
      <c r="I169" s="25" t="inlineStr">
        <is>
          <t>Western Australia (WA)</t>
        </is>
      </c>
      <c r="J169" s="28" t="n">
        <v>780.718019241981</v>
      </c>
      <c r="K169" s="25" t="inlineStr">
        <is>
          <t>Emerald Resources NL engages in mineral exploration. It operates through the following segments: Mine Operations, Exploration, and Other. The company was founded on September 15, 1969 and is headquartered in West Perth, Australia.</t>
        </is>
      </c>
      <c r="L169" s="25" t="inlineStr">
        <is>
          <t>Precious Metal Mining</t>
        </is>
      </c>
      <c r="M169" s="25" t="inlineStr">
        <is>
          <t>Metal Ore Mining</t>
        </is>
      </c>
      <c r="N169" s="25" t="inlineStr">
        <is>
          <t>Mining and Mineral Products</t>
        </is>
      </c>
      <c r="O169" s="30" t="inlineStr">
        <is>
          <t>Asia/Pacific Gold Mining</t>
        </is>
      </c>
      <c r="P169" s="28" t="n">
        <v>173.165</v>
      </c>
      <c r="Q169" s="28" t="n">
        <v>204.331003556732</v>
      </c>
      <c r="R169" s="28" t="n">
        <v>87.6089999999999</v>
      </c>
      <c r="S169" s="28" t="n">
        <v>47.4731305208474</v>
      </c>
      <c r="T169" s="28" t="n">
        <v>40.2321950494175</v>
      </c>
      <c r="U169" s="28" t="n">
        <v>20.3545888377237</v>
      </c>
    </row>
    <row r="170" ht="15" customHeight="1">
      <c r="A170" s="25" t="inlineStr">
        <is>
          <t>UOS-AU</t>
        </is>
      </c>
      <c r="B170" s="25" t="inlineStr">
        <is>
          <t>United Overseas Australia Ltd.</t>
        </is>
      </c>
      <c r="C170" s="25" t="inlineStr">
        <is>
          <t>Public</t>
        </is>
      </c>
      <c r="D170" s="25" t="inlineStr">
        <is>
          <t>Australia</t>
        </is>
      </c>
      <c r="E170" s="26" t="n">
        <v>1987</v>
      </c>
      <c r="F170" s="27" t="n">
        <v>1449</v>
      </c>
      <c r="G170" s="28" t="n">
        <v>364.287</v>
      </c>
      <c r="H170" s="25" t="inlineStr">
        <is>
          <t>Pacific</t>
        </is>
      </c>
      <c r="I170" s="25" t="inlineStr">
        <is>
          <t>Western Australia (WA)</t>
        </is>
      </c>
      <c r="J170" s="28" t="n">
        <v>3419.53189393208</v>
      </c>
      <c r="K170" s="25" t="inlineStr">
        <is>
          <t>United Overseas Australia Ltd. is an investment holding company, which engages in property development, investment, management, and construction. It operates through the following segments: Investments, Land Development &amp; Sale, and Others. The Investment segment includes the holding of investment properties to generate rental income, capital appreciation or both. The Land Development &amp; Sale segment involves in development, construction and sale of residential and commercial properties. The Others segment engages in operations of hotel and food and beverage outlets, provision of facilities, support services and carpark operations, revenue from moneylending services and provision of management services. The company was founded by Chong Soon Kong and Pak Lim Kong in 1987 and is headquartered in Leederville, Australia.</t>
        </is>
      </c>
      <c r="L170" s="25" t="inlineStr">
        <is>
          <t>Other Real Estate Investment and Services</t>
        </is>
      </c>
      <c r="M170" s="25" t="inlineStr">
        <is>
          <t>Real Estate Investment and Services</t>
        </is>
      </c>
      <c r="N170" s="25" t="inlineStr">
        <is>
          <t>Real Estate</t>
        </is>
      </c>
      <c r="O170" s="30" t="inlineStr">
        <is>
          <t>Real Estate Developers</t>
        </is>
      </c>
      <c r="P170" s="28" t="n">
        <v>240.732</v>
      </c>
      <c r="Q170" s="28" t="n">
        <v>138.311007649864</v>
      </c>
      <c r="R170" s="28" t="n">
        <v>91.568</v>
      </c>
      <c r="S170" s="28" t="n">
        <v>37.967591486932</v>
      </c>
      <c r="T170" s="28" t="n">
        <v>66.0830608833145</v>
      </c>
      <c r="U170" s="28" t="n">
        <v>25.1362250094019</v>
      </c>
    </row>
    <row r="171" ht="15" customHeight="1">
      <c r="A171" s="25" t="inlineStr">
        <is>
          <t>IEL-AU</t>
        </is>
      </c>
      <c r="B171" s="25" t="inlineStr">
        <is>
          <t>IDP Education Ltd.</t>
        </is>
      </c>
      <c r="C171" s="25" t="inlineStr">
        <is>
          <t>Public</t>
        </is>
      </c>
      <c r="D171" s="25" t="inlineStr">
        <is>
          <t>Australia</t>
        </is>
      </c>
      <c r="E171" s="26" t="n">
        <v>2005</v>
      </c>
      <c r="F171" s="27" t="n">
        <v>9173</v>
      </c>
      <c r="G171" s="28" t="n">
        <v>878.471</v>
      </c>
      <c r="H171" s="25" t="inlineStr">
        <is>
          <t>Pacific</t>
        </is>
      </c>
      <c r="I171" s="25" t="inlineStr">
        <is>
          <t>Victoria (VIC)</t>
        </is>
      </c>
      <c r="J171" s="28" t="n">
        <v>1279.44803153394</v>
      </c>
      <c r="K171" s="25" t="inlineStr">
        <is>
          <t>IDP Education Ltd. engages in the education business, which provides placement of international students into education institutions in Australia, the United Kingdom, the United States, Canada, New Zealand, and Ireland. The firm operates through the following geographical segments: Asia, Australasia, and Rest of World. The Asia segment consists of operations in Bangladesh, Cambodia, China, Hong Kong, India, Indonesia, Japan, Laos, Malaysia, Mauritius, Myanmar, Nepal, Philippines, Singapore, South Korea, Sri Lanka, Taiwan, Thailand, and Vietnam. The Australasia segment focuses on Australia, Fiji, New Zealand, and New Caledonia. The Rest of World segment includes Argentina, Azerbaijan, Bahrain, Brazil, Canada, Chile, Colombia, Cyprus, Ecuador, Egypt, Germany, Ghana, Greece, Iran, Ireland, Italy, Jordan, Kazakhstan, Kenya, Kuwait, Lebanon, Mexico, Morocco, Nigeria, Oman, Pakistan, Peru, Poland, Qatar, Romania, Russia, Saudi Arabia, Spain, Switzerland, Türkiye, Ukraine, Uruguay, Uzbekistan, the United Arab Emirates, the United Kingdom, and the United States of America. The company was founded in 1969 and is headquartered in Melbourne, Australia.</t>
        </is>
      </c>
      <c r="L171" s="25" t="inlineStr">
        <is>
          <t>Educational Services</t>
        </is>
      </c>
      <c r="M171" s="25" t="inlineStr">
        <is>
          <t>Personal Professional Services</t>
        </is>
      </c>
      <c r="N171" s="25" t="inlineStr">
        <is>
          <t>Household Services</t>
        </is>
      </c>
      <c r="O171" s="30" t="inlineStr">
        <is>
          <t>Other Educational Services</t>
        </is>
      </c>
      <c r="P171" s="28" t="n">
        <v>274.862999999999</v>
      </c>
      <c r="Q171" s="28" t="n">
        <v>162.767983194409</v>
      </c>
      <c r="R171" s="28" t="n">
        <v>44.508</v>
      </c>
      <c r="S171" s="28" t="n">
        <v>18.5285570041584</v>
      </c>
      <c r="T171" s="28" t="n">
        <v>31.288796101408</v>
      </c>
      <c r="U171" s="28" t="n">
        <v>5.06653036924383</v>
      </c>
    </row>
    <row r="172" ht="15" customHeight="1">
      <c r="A172" s="25" t="inlineStr">
        <is>
          <t>BXB-AU</t>
        </is>
      </c>
      <c r="B172" s="25" t="inlineStr">
        <is>
          <t>Brambles Ltd.</t>
        </is>
      </c>
      <c r="C172" s="25" t="inlineStr">
        <is>
          <t>Public</t>
        </is>
      </c>
      <c r="D172" s="25" t="inlineStr">
        <is>
          <t>Australia</t>
        </is>
      </c>
      <c r="E172" s="26" t="n">
        <v>2006</v>
      </c>
      <c r="F172" s="27" t="n">
        <v>12093</v>
      </c>
      <c r="G172" s="28" t="n">
        <v>10298.6115691202</v>
      </c>
      <c r="H172" s="25" t="inlineStr">
        <is>
          <t>Pacific</t>
        </is>
      </c>
      <c r="I172" s="25" t="inlineStr">
        <is>
          <t>New South Wales (NSW)</t>
        </is>
      </c>
      <c r="J172" s="28" t="n">
        <v>15326.7723317662</v>
      </c>
      <c r="K172" s="25" t="inlineStr">
        <is>
          <t>Brambles Ltd. engages in the development of supply chain logistics solutions, focusing on the provision of reusable pallets and containers. It operates through the following segments: CHEP Americas, CHEP EMEA, CHEP Asia-Pacific, and Corporate. The CHEP Americas segment is composed of North America and Latin America. The CHEP EMEA segment includes the Europe, Middle East, Africa, and India. The CHEP Asia-Pacific segment consists of Australia, New Zealand and Asia, excluding India. The Corporate segment refers to BXB Digital. The company was founded by Walter Edwin Bramble in 1875 and is headquartered in Sydney, Australia.</t>
        </is>
      </c>
      <c r="L172" s="25" t="inlineStr">
        <is>
          <t>Logistics and Supply Chain Service Providers</t>
        </is>
      </c>
      <c r="M172" s="25" t="inlineStr">
        <is>
          <t>Delivery and Logistics Services</t>
        </is>
      </c>
      <c r="N172" s="25" t="inlineStr">
        <is>
          <t>Industrial Services</t>
        </is>
      </c>
      <c r="O172" s="30" t="inlineStr">
        <is>
          <t>Logistics and Supply Chain Service Providers</t>
        </is>
      </c>
      <c r="P172" s="28" t="n">
        <v>2109.07140385042</v>
      </c>
      <c r="Q172" s="28" t="n">
        <v>3026.41478258204</v>
      </c>
      <c r="R172" s="28" t="n">
        <v>1334.40186485656</v>
      </c>
      <c r="S172" s="28" t="n">
        <v>29.3866290585665</v>
      </c>
      <c r="T172" s="28" t="n">
        <v>20.4791819722023</v>
      </c>
      <c r="U172" s="28" t="n">
        <v>12.9571045174446</v>
      </c>
    </row>
    <row r="173" ht="15" customHeight="1">
      <c r="A173" s="25" t="inlineStr">
        <is>
          <t>AMA-AU</t>
        </is>
      </c>
      <c r="B173" s="25" t="inlineStr">
        <is>
          <t>AMA Group Ltd.</t>
        </is>
      </c>
      <c r="C173" s="25" t="inlineStr">
        <is>
          <t>Public</t>
        </is>
      </c>
      <c r="D173" s="25" t="inlineStr">
        <is>
          <t>Australia</t>
        </is>
      </c>
      <c r="E173" s="26" t="n">
        <v>2005</v>
      </c>
      <c r="F173" s="27" t="n">
        <v>3621</v>
      </c>
      <c r="G173" s="28" t="n">
        <v>1009.926</v>
      </c>
      <c r="H173" s="25" t="inlineStr">
        <is>
          <t>Pacific</t>
        </is>
      </c>
      <c r="I173" s="25" t="inlineStr">
        <is>
          <t>Victoria (VIC)</t>
        </is>
      </c>
      <c r="J173" s="28" t="n">
        <v>993.272024480697</v>
      </c>
      <c r="K173" s="25" t="inlineStr">
        <is>
          <t>AMA Group Ltd. engages in the business of operating vehicle and heavy motor collision repair facilities and supplying automotive parts and consumables. It operates through the following segments: Vehicle Collision Repairs, Wales, and Corporate. The Vehicle Collision Repairs segment includes Capital S.M.A.R.T. and AMA Collision. The Heavy Motors segment provides dedicated and highly specialized facilities for all commercial vehicle repairs from light commercial to prime movers, b-doubles, buses, and earthmoving equipment. The Wales segment provides dedicated and highly specialized facilities for all commercial vehicle repairs, from light commercial to prime movers, B-doubles, buses, and earthmoving equipment. The company was founded on April 19, 2005 and is headquartered in Melbourne, Australia.</t>
        </is>
      </c>
      <c r="L173" s="25" t="inlineStr">
        <is>
          <t>Automotive Services</t>
        </is>
      </c>
      <c r="M173" s="25" t="inlineStr">
        <is>
          <t>Auto Retail</t>
        </is>
      </c>
      <c r="N173" s="25" t="inlineStr">
        <is>
          <t>Miscellaneous Retail</t>
        </is>
      </c>
      <c r="O173" s="30" t="inlineStr">
        <is>
          <t>Automotive Maintenance and Repair Services</t>
        </is>
      </c>
      <c r="P173" s="28" t="n">
        <v>100.76</v>
      </c>
      <c r="Q173" s="28" t="n">
        <v>107.844993742404</v>
      </c>
      <c r="R173" s="28" t="n">
        <v>-7.46899999999999</v>
      </c>
      <c r="S173" s="28" t="n">
        <v>10.6785051578036</v>
      </c>
      <c r="T173" s="28" t="n">
        <v>9.9769686095813</v>
      </c>
      <c r="U173" s="28" t="n">
        <v>-0.7395591360159059</v>
      </c>
    </row>
    <row r="174" ht="15" customHeight="1">
      <c r="A174" s="25" t="inlineStr">
        <is>
          <t>AGL-AU</t>
        </is>
      </c>
      <c r="B174" s="25" t="inlineStr">
        <is>
          <t>AGL Energy Ltd.</t>
        </is>
      </c>
      <c r="C174" s="25" t="inlineStr">
        <is>
          <t>Public</t>
        </is>
      </c>
      <c r="D174" s="25" t="inlineStr">
        <is>
          <t>Australia</t>
        </is>
      </c>
      <c r="E174" s="26" t="n">
        <v>2005</v>
      </c>
      <c r="F174" s="27" t="n">
        <v>3011</v>
      </c>
      <c r="G174" s="28" t="n">
        <v>14392.9999999999</v>
      </c>
      <c r="H174" s="25" t="inlineStr">
        <is>
          <t>Pacific</t>
        </is>
      </c>
      <c r="I174" s="25" t="inlineStr">
        <is>
          <t>New South Wales (NSW)</t>
        </is>
      </c>
      <c r="J174" s="28" t="n">
        <v>16204.0003993722</v>
      </c>
      <c r="K174" s="25" t="inlineStr">
        <is>
          <t>AGL Energy Ltd. is a renewable energy company, which engages in the provision of natural gas distribution services. It operates through the following segments: Customer Markets, Integrated Energy, and Investments. The Customer Markets segment is involved in the retail of electricity, gas, solar, and energy efficiency products and services. The Integrated Energy segment is composed of coal, gas and renewable generation facilities, natural gas storage and production facilities, and development projects. The Investment segment focuses its interests in the ActewAGL Retail Partnership, Tilt Renewables, Energy Impact Partners Europe, Ovo Energy Australia Pty Ltd, and other investments. The company was founded in 1837 and is headquartered in Sydney, Australia.</t>
        </is>
      </c>
      <c r="L174" s="25" t="inlineStr">
        <is>
          <t>Electric Utilities</t>
        </is>
      </c>
      <c r="M174" s="25" t="inlineStr">
        <is>
          <t>Energy Utilities</t>
        </is>
      </c>
      <c r="N174" s="25" t="inlineStr">
        <is>
          <t>Utilities</t>
        </is>
      </c>
      <c r="O174" s="30" t="inlineStr">
        <is>
          <t>International Electric Utilities</t>
        </is>
      </c>
      <c r="P174" s="28" t="n">
        <v>1797</v>
      </c>
      <c r="Q174" s="28" t="n">
        <v>1679.99999659684</v>
      </c>
      <c r="R174" s="28" t="n">
        <v>-98</v>
      </c>
      <c r="S174" s="28" t="n">
        <v>11.6723407211839</v>
      </c>
      <c r="T174" s="28" t="n">
        <v>12.4852358785521</v>
      </c>
      <c r="U174" s="28" t="n">
        <v>-0.680886542069061</v>
      </c>
    </row>
    <row r="175" ht="15" customHeight="1">
      <c r="A175" s="25" t="inlineStr">
        <is>
          <t>GDG-AU</t>
        </is>
      </c>
      <c r="B175" s="25" t="inlineStr">
        <is>
          <t>Generation Development Group Ltd.</t>
        </is>
      </c>
      <c r="C175" s="25" t="inlineStr">
        <is>
          <t>Public</t>
        </is>
      </c>
      <c r="D175" s="25" t="inlineStr">
        <is>
          <t>Australia</t>
        </is>
      </c>
      <c r="E175" s="26" t="n">
        <v>1999</v>
      </c>
      <c r="F175" s="27" t="inlineStr">
        <is>
          <t>-</t>
        </is>
      </c>
      <c r="G175" s="28" t="n">
        <v>219.517</v>
      </c>
      <c r="H175" s="25" t="inlineStr">
        <is>
          <t>Pacific</t>
        </is>
      </c>
      <c r="I175" s="25" t="inlineStr">
        <is>
          <t>Victoria (VIC)</t>
        </is>
      </c>
      <c r="J175" s="28" t="n">
        <v>5514.56613591486</v>
      </c>
      <c r="K175" s="25" t="inlineStr">
        <is>
          <t>Generation Development Group Ltd. engages in the provision of development capital to financial sector businesses. It operates through the following segments: Benefits Funds Management and Funds Administration, Other Business, and Benefits Funds. The Benefits Funds Management and Funds Administration segment includes administration and management services to the benefits. The Other Business segment refers to the investment associates of the company. The Benefis Funds segment focuses on the operation of results and financial position of the benefits funds. The company was founded in 1991 by Martin Edward Ryan and is headquartered in Melbourne, Australia.</t>
        </is>
      </c>
      <c r="L175" s="25" t="inlineStr">
        <is>
          <t>Asset Management and Financial Advisory Services</t>
        </is>
      </c>
      <c r="M175" s="25" t="inlineStr">
        <is>
          <t>Investment Services</t>
        </is>
      </c>
      <c r="N175" s="25" t="inlineStr">
        <is>
          <t>Investment Services</t>
        </is>
      </c>
      <c r="O175" s="30" t="inlineStr">
        <is>
          <t>Diverse Asset Management and Financial Advisors</t>
        </is>
      </c>
      <c r="P175" s="28" t="n">
        <v>179.760999999999</v>
      </c>
      <c r="Q175" s="28" t="n">
        <v>380.224980008169</v>
      </c>
      <c r="R175" s="28" t="n">
        <v>38.247</v>
      </c>
      <c r="S175" s="28" t="n">
        <v>173.209819740612</v>
      </c>
      <c r="T175" s="28" t="n">
        <v>81.889329755782</v>
      </c>
      <c r="U175" s="28" t="n">
        <v>17.4232519577071</v>
      </c>
    </row>
    <row r="176" ht="15" customHeight="1">
      <c r="A176" s="25" t="inlineStr">
        <is>
          <t>COL-AU</t>
        </is>
      </c>
      <c r="B176" s="25" t="inlineStr">
        <is>
          <t>Coles Group Ltd.</t>
        </is>
      </c>
      <c r="C176" s="25" t="inlineStr">
        <is>
          <t>Public</t>
        </is>
      </c>
      <c r="D176" s="25" t="inlineStr">
        <is>
          <t>Australia</t>
        </is>
      </c>
      <c r="E176" s="26" t="n">
        <v>1921</v>
      </c>
      <c r="F176" s="27" t="n">
        <v>115000</v>
      </c>
      <c r="G176" s="28" t="n">
        <v>44489.0388643381</v>
      </c>
      <c r="H176" s="25" t="inlineStr">
        <is>
          <t>Pacific</t>
        </is>
      </c>
      <c r="I176" s="25" t="inlineStr">
        <is>
          <t>Victoria (VIC)</t>
        </is>
      </c>
      <c r="J176" s="28" t="n">
        <v>22869.9888449156</v>
      </c>
      <c r="K176" s="25" t="inlineStr">
        <is>
          <t>Coles Group Ltd. engages in the operation of supermarkets and retail stores. It operates through the following segments: Supermarkets, Liquor, and Other. The Supermarkets segment provides fresh food, groceries, and general merchandise retailing. The Liquor segment provides liquor retailing, including online delivery services. The Other segment includes property, insurance, and treasury. The company was founded in 1914 and is headquartered in Melbourne, Australia.</t>
        </is>
      </c>
      <c r="L176" s="25" t="inlineStr">
        <is>
          <t>Grocery Stores</t>
        </is>
      </c>
      <c r="M176" s="25" t="inlineStr">
        <is>
          <t>Food and Beverage Retail</t>
        </is>
      </c>
      <c r="N176" s="25" t="inlineStr">
        <is>
          <t>Food and Staples Retail</t>
        </is>
      </c>
      <c r="O176" s="30" t="inlineStr">
        <is>
          <t>Supermarkets</t>
        </is>
      </c>
      <c r="P176" s="28" t="n">
        <v>10269.4706340703</v>
      </c>
      <c r="Q176" s="28" t="n">
        <v>3794.17387527871</v>
      </c>
      <c r="R176" s="28" t="n">
        <v>1079.04945117946</v>
      </c>
      <c r="S176" s="28" t="n">
        <v>8.52833412008002</v>
      </c>
      <c r="T176" s="28" t="n">
        <v>23.0831478858993</v>
      </c>
      <c r="U176" s="28" t="n">
        <v>2.42542765302223</v>
      </c>
    </row>
    <row r="177" ht="15" customHeight="1">
      <c r="A177" s="25" t="inlineStr">
        <is>
          <t>CCX-AU</t>
        </is>
      </c>
      <c r="B177" s="25" t="inlineStr">
        <is>
          <t>City Chic Collective Ltd.</t>
        </is>
      </c>
      <c r="C177" s="25" t="inlineStr">
        <is>
          <t>Public</t>
        </is>
      </c>
      <c r="D177" s="25" t="inlineStr">
        <is>
          <t>Australia</t>
        </is>
      </c>
      <c r="E177" s="26" t="n">
        <v>1992</v>
      </c>
      <c r="F177" s="27" t="n">
        <v>599</v>
      </c>
      <c r="G177" s="28" t="n">
        <v>134.705173331253</v>
      </c>
      <c r="H177" s="25" t="inlineStr">
        <is>
          <t>Pacific</t>
        </is>
      </c>
      <c r="I177" s="25" t="inlineStr">
        <is>
          <t>New South Wales (NSW)</t>
        </is>
      </c>
      <c r="J177" s="28" t="n">
        <v>105.44328775506</v>
      </c>
      <c r="K177" s="25" t="inlineStr">
        <is>
          <t>City Chic Collective Ltd. engages in the retailing of women's clothing in Australia, New Zealand, South Africa, and the U. S. It offers its products through various brands, such as Millers, Crossroads, Katies, Autograph, and Rivers. The company was founded by Arnold Ian Miller and Sara Miller in 1992 and is headquartered in Alexandria, Australia.</t>
        </is>
      </c>
      <c r="L177" s="25" t="inlineStr">
        <is>
          <t>Apparel Retail</t>
        </is>
      </c>
      <c r="M177" s="25" t="inlineStr">
        <is>
          <t>Apparel and Accessories Retail</t>
        </is>
      </c>
      <c r="N177" s="25" t="inlineStr">
        <is>
          <t>Consumer Retail</t>
        </is>
      </c>
      <c r="O177" s="30" t="inlineStr">
        <is>
          <t>Other Apparel Retail</t>
        </is>
      </c>
      <c r="P177" s="28" t="n">
        <v>17.3917970393531</v>
      </c>
      <c r="Q177" s="28" t="n">
        <v>5.8602722762967</v>
      </c>
      <c r="R177" s="28" t="n">
        <v>-8.872406608771289</v>
      </c>
      <c r="S177" s="28" t="n">
        <v>4.35044061203127</v>
      </c>
      <c r="T177" s="28" t="n">
        <v>12.9110089904157</v>
      </c>
      <c r="U177" s="28" t="n">
        <v>-6.58653739077499</v>
      </c>
    </row>
    <row r="178" ht="15" customHeight="1">
      <c r="A178" s="25" t="inlineStr">
        <is>
          <t>CCL-AU</t>
        </is>
      </c>
      <c r="B178" s="25" t="inlineStr">
        <is>
          <t>Cuscal Ltd.</t>
        </is>
      </c>
      <c r="C178" s="25" t="inlineStr">
        <is>
          <t>Public</t>
        </is>
      </c>
      <c r="D178" s="25" t="inlineStr">
        <is>
          <t>Australia</t>
        </is>
      </c>
      <c r="E178" s="26" t="n">
        <v>1997</v>
      </c>
      <c r="F178" s="27" t="n">
        <v>658</v>
      </c>
      <c r="G178" s="28" t="n">
        <v>398.7</v>
      </c>
      <c r="H178" s="25" t="inlineStr">
        <is>
          <t>Pacific</t>
        </is>
      </c>
      <c r="I178" s="25" t="inlineStr">
        <is>
          <t>New South Wales (NSW)</t>
        </is>
      </c>
      <c r="J178" s="28" t="n">
        <v>3465.20008540512</v>
      </c>
      <c r="K178" s="25" t="inlineStr">
        <is>
          <t>Cuscal Ltd. engages in the provision of payments and regulated data services. It offers real-time payments, issuing solutions, acquiring solutions, consumer data right (CDR) solutions, financial crimes solutions, enablement and support solutions, and other payment services. The company was founded in 1977 and is headquartered in Sydney, Australia.</t>
        </is>
      </c>
      <c r="L178" s="25" t="inlineStr">
        <is>
          <t>Consumer Finance Services</t>
        </is>
      </c>
      <c r="M178" s="25" t="inlineStr">
        <is>
          <t>Specialty Finance</t>
        </is>
      </c>
      <c r="N178" s="25" t="inlineStr">
        <is>
          <t>Specialty Finance and Services</t>
        </is>
      </c>
      <c r="O178" s="30" t="inlineStr">
        <is>
          <t>Electronic Transaction Processing/Clearinghouses</t>
        </is>
      </c>
      <c r="P178" s="28" t="n">
        <v>276.1</v>
      </c>
      <c r="Q178" s="28" t="n">
        <v>55.9999916514191</v>
      </c>
      <c r="R178" s="28" t="n">
        <v>28.6999999999999</v>
      </c>
      <c r="S178" s="28" t="n">
        <v>14.0456483571608</v>
      </c>
      <c r="T178" s="28" t="n">
        <v>69.25006270378729</v>
      </c>
      <c r="U178" s="28" t="n">
        <v>7.1983947830449</v>
      </c>
    </row>
    <row r="179" ht="15" customHeight="1">
      <c r="A179" s="25" t="inlineStr">
        <is>
          <t>SSM-AU</t>
        </is>
      </c>
      <c r="B179" s="25" t="inlineStr">
        <is>
          <t>Service Stream Ltd.</t>
        </is>
      </c>
      <c r="C179" s="25" t="inlineStr">
        <is>
          <t>Public</t>
        </is>
      </c>
      <c r="D179" s="25" t="inlineStr">
        <is>
          <t>Australia</t>
        </is>
      </c>
      <c r="E179" s="26" t="n">
        <v>1996</v>
      </c>
      <c r="F179" s="27" t="n">
        <v>5300</v>
      </c>
      <c r="G179" s="28" t="n">
        <v>2326.464</v>
      </c>
      <c r="H179" s="25" t="inlineStr">
        <is>
          <t>Pacific</t>
        </is>
      </c>
      <c r="I179" s="25" t="inlineStr">
        <is>
          <t>Victoria (VIC)</t>
        </is>
      </c>
      <c r="J179" s="28" t="n">
        <v>1045.94602577892</v>
      </c>
      <c r="K179" s="25" t="inlineStr">
        <is>
          <t>Service Stream Ltd. engages in the business of designing, constructing, operating, and maintaining critical infrastructure networks. It operates through the following segments: Telecommunications, Utilities, Transport, and Other. The Telecommunications segment includes operations, maintenance, installation, design, and construction services to the owners of fixed-line and wireless telecommunication networks. The Utilities segment is involved in gas, water, and electricity network owners, industrial asset owners, and other customers. The Transport segment focuses on long-term operational support and maintenance services to public and private road and tunnel asset owners. The company was founded by Adrian Field and Russell Andrew Small on January 8, 1996 and is headquartered in Melbourne, Australia.</t>
        </is>
      </c>
      <c r="L179" s="25" t="inlineStr">
        <is>
          <t>Infrastructure Construction/Contracting Services</t>
        </is>
      </c>
      <c r="M179" s="25" t="inlineStr">
        <is>
          <t>Facilities and Construction Services</t>
        </is>
      </c>
      <c r="N179" s="25" t="inlineStr">
        <is>
          <t>Industrial Services</t>
        </is>
      </c>
      <c r="O179" s="30" t="inlineStr">
        <is>
          <t>Infrastructure Construction</t>
        </is>
      </c>
      <c r="P179" s="28" t="n">
        <v>181.902999999999</v>
      </c>
      <c r="Q179" s="28" t="n">
        <v>132.263991997069</v>
      </c>
      <c r="R179" s="28" t="n">
        <v>59.1839999999999</v>
      </c>
      <c r="S179" s="28" t="n">
        <v>5.68519435503838</v>
      </c>
      <c r="T179" s="28" t="n">
        <v>7.81886158565101</v>
      </c>
      <c r="U179" s="28" t="n">
        <v>2.54394652141619</v>
      </c>
    </row>
    <row r="180" ht="15" customHeight="1">
      <c r="A180" s="25" t="inlineStr">
        <is>
          <t>NEC-AU</t>
        </is>
      </c>
      <c r="B180" s="25" t="inlineStr">
        <is>
          <t>Nine Entertainment Co. Holdings Ltd.</t>
        </is>
      </c>
      <c r="C180" s="25" t="inlineStr">
        <is>
          <t>Public</t>
        </is>
      </c>
      <c r="D180" s="25" t="inlineStr">
        <is>
          <t>Australia</t>
        </is>
      </c>
      <c r="E180" s="26" t="n">
        <v>2006</v>
      </c>
      <c r="F180" s="27" t="n">
        <v>4193</v>
      </c>
      <c r="G180" s="28" t="n">
        <v>2676.473</v>
      </c>
      <c r="H180" s="25" t="inlineStr">
        <is>
          <t>Pacific</t>
        </is>
      </c>
      <c r="I180" s="25" t="inlineStr">
        <is>
          <t>New South Wales (NSW)</t>
        </is>
      </c>
      <c r="J180" s="28" t="n">
        <v>3965.09109772569</v>
      </c>
      <c r="K180" s="25" t="inlineStr">
        <is>
          <t>Nine Entertainment Co. Holdings Ltd. operates as a media and entertainment company. It operates through the following segments: Broadcasting, Publishing, Domain Group, and Stan. The Broadcasting segment includes free to air television activities and metropolitan radio networks in Australia. The Publishing segment includes other and metropolitan media. The Domain Group segment engages in real estate media and service businesses. The Stan segment provides subscription video on demand services. The company was founded on October 16, 2006 and is headquartered in North Sydney, Australia.</t>
        </is>
      </c>
      <c r="L180" s="25" t="inlineStr">
        <is>
          <t>Broadcast Media Services</t>
        </is>
      </c>
      <c r="M180" s="25" t="inlineStr">
        <is>
          <t>Media and Publishing Services</t>
        </is>
      </c>
      <c r="N180" s="25" t="inlineStr">
        <is>
          <t>Media and Publishing Services</t>
        </is>
      </c>
      <c r="O180" s="30" t="inlineStr">
        <is>
          <t>Radio and Television Broadcasting</t>
        </is>
      </c>
      <c r="P180" s="28" t="n">
        <v>320.191999999999</v>
      </c>
      <c r="Q180" s="28" t="n">
        <v>478.302003867306</v>
      </c>
      <c r="R180" s="28" t="n">
        <v>103.888999999999</v>
      </c>
      <c r="S180" s="28" t="n">
        <v>17.8706080726389</v>
      </c>
      <c r="T180" s="28" t="n">
        <v>11.9632068023851</v>
      </c>
      <c r="U180" s="28" t="n">
        <v>3.8815635352944</v>
      </c>
    </row>
    <row r="181" ht="15" customHeight="1">
      <c r="A181" s="25" t="inlineStr">
        <is>
          <t>MQG-AU</t>
        </is>
      </c>
      <c r="B181" s="25" t="inlineStr">
        <is>
          <t>Macquarie Group Ltd.</t>
        </is>
      </c>
      <c r="C181" s="25" t="inlineStr">
        <is>
          <t>Public</t>
        </is>
      </c>
      <c r="D181" s="25" t="inlineStr">
        <is>
          <t>Australia</t>
        </is>
      </c>
      <c r="E181" s="26" t="n">
        <v>2006</v>
      </c>
      <c r="F181" s="27" t="n">
        <v>19735</v>
      </c>
      <c r="G181" s="28" t="n">
        <v>32008</v>
      </c>
      <c r="H181" s="25" t="inlineStr">
        <is>
          <t>Pacific</t>
        </is>
      </c>
      <c r="I181" s="25" t="inlineStr">
        <is>
          <t>New South Wales (NSW)</t>
        </is>
      </c>
      <c r="J181" s="28" t="n">
        <v>446434.006394273</v>
      </c>
      <c r="K181" s="25" t="inlineStr">
        <is>
          <t>Macquarie Group Ltd. operates as a non-operating holding company. The firm engages in the provision of banking, financial, advisory, investment and funds management services. It operates through the following segments: Macquarie Asset Management (MAM), Banking and Financial Services (BFS), Commodities and Global Markets (CGM), Macquarie Capital and Corporate. The MAM segment delivers investment solutions to clients across a range of capabilities, including infrastructure, real estate, agriculture, equities, fixed income, private credit, liquid alternatives, and multi-asset solutions. The BFS segment offers personal banking, wealth management, business banking, and vehicle finance products and services to retail clients, advisers, brokers and business clients. The CGM segment comprises of integrated, end-to-end offering across global markets including equities, fixed income, foreign exchange, and commodities. The Macquarie Capital segment includes capital solutions across products and sectors including infrastructure, green and conventional energy. The Corporate segment refers to the head office and central service groups, including group treasury and other investments. The company was founded on December 10, 1969 and is headquartered in Sydney, Australia.</t>
        </is>
      </c>
      <c r="L181" s="25" t="inlineStr">
        <is>
          <t>Diversified Investment</t>
        </is>
      </c>
      <c r="M181" s="25" t="inlineStr">
        <is>
          <t>Investment Services</t>
        </is>
      </c>
      <c r="N181" s="25" t="inlineStr">
        <is>
          <t>Investment Services</t>
        </is>
      </c>
      <c r="O181" s="30" t="inlineStr">
        <is>
          <t>Diversified Investment</t>
        </is>
      </c>
      <c r="P181" s="28" t="inlineStr">
        <is>
          <t>-</t>
        </is>
      </c>
      <c r="Q181" s="28" t="inlineStr">
        <is>
          <t>-</t>
        </is>
      </c>
      <c r="R181" s="28" t="n">
        <v>3582.99999999999</v>
      </c>
      <c r="S181" s="28" t="inlineStr">
        <is>
          <t>-</t>
        </is>
      </c>
      <c r="T181" s="28" t="inlineStr">
        <is>
          <t>-</t>
        </is>
      </c>
      <c r="U181" s="28" t="n">
        <v>11.1940764808798</v>
      </c>
    </row>
    <row r="182" ht="15" customHeight="1">
      <c r="A182" s="25" t="inlineStr">
        <is>
          <t>MPL-AU</t>
        </is>
      </c>
      <c r="B182" s="25" t="inlineStr">
        <is>
          <t>Medibank Private Ltd.</t>
        </is>
      </c>
      <c r="C182" s="25" t="inlineStr">
        <is>
          <t>Public</t>
        </is>
      </c>
      <c r="D182" s="25" t="inlineStr">
        <is>
          <t>Australia</t>
        </is>
      </c>
      <c r="E182" s="26" t="n">
        <v>1997</v>
      </c>
      <c r="F182" s="27" t="n">
        <v>3604</v>
      </c>
      <c r="G182" s="28" t="n">
        <v>8532.79999999999</v>
      </c>
      <c r="H182" s="25" t="inlineStr">
        <is>
          <t>Pacific</t>
        </is>
      </c>
      <c r="I182" s="25" t="inlineStr">
        <is>
          <t>Victoria (VIC)</t>
        </is>
      </c>
      <c r="J182" s="28" t="n">
        <v>4700.30011584603</v>
      </c>
      <c r="K182" s="25" t="inlineStr">
        <is>
          <t>Medibank Private Ltd. engages in the underwriting and distribution of private health insurance policies. It operates through the Health Insurance and Medibank Health segments. The Health Insurance segment offers private health insurance products including hospital cover and ancillary cover, as stand-alone products and packaged products. The Medibank Health segment refers to a range of activities including contracting with government and corporate customers to provide health management services, as well as providing a range of telehealth services in Australia. The company was founded in 1976 and is headquartered in Docklands, Australia.</t>
        </is>
      </c>
      <c r="L182" s="25" t="inlineStr">
        <is>
          <t>Life and Health Insurance</t>
        </is>
      </c>
      <c r="M182" s="25" t="inlineStr">
        <is>
          <t>Insurance</t>
        </is>
      </c>
      <c r="N182" s="25" t="inlineStr">
        <is>
          <t>Insurance</t>
        </is>
      </c>
      <c r="O182" s="30" t="inlineStr">
        <is>
          <t>Supplemental Health Insurance</t>
        </is>
      </c>
      <c r="P182" s="28" t="inlineStr">
        <is>
          <t>-</t>
        </is>
      </c>
      <c r="Q182" s="28" t="inlineStr">
        <is>
          <t>-</t>
        </is>
      </c>
      <c r="R182" s="28" t="n">
        <v>500.8</v>
      </c>
      <c r="S182" s="28" t="inlineStr">
        <is>
          <t>-</t>
        </is>
      </c>
      <c r="T182" s="28" t="inlineStr">
        <is>
          <t>-</t>
        </is>
      </c>
      <c r="U182" s="28" t="n">
        <v>5.86911681980124</v>
      </c>
    </row>
    <row r="183" ht="15" customHeight="1">
      <c r="A183" s="25" t="inlineStr">
        <is>
          <t>QUB-AU</t>
        </is>
      </c>
      <c r="B183" s="25" t="inlineStr">
        <is>
          <t>Qube Holdings Ltd.</t>
        </is>
      </c>
      <c r="C183" s="25" t="inlineStr">
        <is>
          <t>Public</t>
        </is>
      </c>
      <c r="D183" s="25" t="inlineStr">
        <is>
          <t>Australia</t>
        </is>
      </c>
      <c r="E183" s="26" t="n">
        <v>2006</v>
      </c>
      <c r="F183" s="27" t="n">
        <v>10000</v>
      </c>
      <c r="G183" s="28" t="n">
        <v>4166.89999999999</v>
      </c>
      <c r="H183" s="25" t="inlineStr">
        <is>
          <t>Pacific</t>
        </is>
      </c>
      <c r="I183" s="25" t="inlineStr">
        <is>
          <t>New South Wales (NSW)</t>
        </is>
      </c>
      <c r="J183" s="28" t="n">
        <v>7415.30018276133</v>
      </c>
      <c r="K183" s="25" t="inlineStr">
        <is>
          <t>Qube Holdings Ltd. is a logistics and infrastructure company, which engages in the provision of import and export logistics services. The firm operates through the following segments: Operating Division, Property Division, Patrick, Corporate and Other. The Operating Division segment comprises Qube Ports, Qube Bulk and Qube Logistics. The Property Division segment primarily comprises the Moorebank Logistics Park Project. The Patrick segment provides container stevedoring services in the Australian market with operations in the four largest container terminal ports in Australia. The Corporate and Other segment provides strategic, commercial and treasury support to the divisions as well as to develop and manage new growth opportunities that do not fall within one of the existing divisions. The company was founded by Sam Kaplan in 2006 and is headquartered in Sydney, Australia.</t>
        </is>
      </c>
      <c r="L183" s="25" t="inlineStr">
        <is>
          <t>Air and Water Transportation Operators</t>
        </is>
      </c>
      <c r="M183" s="25" t="inlineStr">
        <is>
          <t>Cargo Transportation and Infrastructure Services</t>
        </is>
      </c>
      <c r="N183" s="25" t="inlineStr">
        <is>
          <t>Industrial Services</t>
        </is>
      </c>
      <c r="O183" s="30" t="inlineStr">
        <is>
          <t>Water Transportation</t>
        </is>
      </c>
      <c r="P183" s="28" t="n">
        <v>442.799999999999</v>
      </c>
      <c r="Q183" s="28" t="n">
        <v>595.800010053915</v>
      </c>
      <c r="R183" s="28" t="n">
        <v>113.2</v>
      </c>
      <c r="S183" s="28" t="n">
        <v>14.2983992896398</v>
      </c>
      <c r="T183" s="28" t="n">
        <v>10.626604910125</v>
      </c>
      <c r="U183" s="28" t="n">
        <v>2.71664786771941</v>
      </c>
    </row>
    <row r="184" ht="15" customHeight="1">
      <c r="A184" s="25" t="inlineStr">
        <is>
          <t>MFF-AU</t>
        </is>
      </c>
      <c r="B184" s="25" t="inlineStr">
        <is>
          <t>MFF Capital Investments Ltd.</t>
        </is>
      </c>
      <c r="C184" s="25" t="inlineStr">
        <is>
          <t>Public</t>
        </is>
      </c>
      <c r="D184" s="25" t="inlineStr">
        <is>
          <t>Australia</t>
        </is>
      </c>
      <c r="E184" s="26" t="n">
        <v>2006</v>
      </c>
      <c r="F184" s="27" t="inlineStr">
        <is>
          <t>-</t>
        </is>
      </c>
      <c r="G184" s="28" t="n">
        <v>44.4879999999999</v>
      </c>
      <c r="H184" s="25" t="inlineStr">
        <is>
          <t>Pacific</t>
        </is>
      </c>
      <c r="I184" s="25" t="inlineStr">
        <is>
          <t>New South Wales (NSW)</t>
        </is>
      </c>
      <c r="J184" s="28" t="n">
        <v>2952.71907277425</v>
      </c>
      <c r="K184" s="25" t="inlineStr">
        <is>
          <t>MFF Capital Investments Ltd. operates as a closed-end investment fund. It provides investment services in a minimum of twenty exchange listed international and Australian companies. The company was founded on October 19, 2006 and is headquartered in Sydney, Australia.</t>
        </is>
      </c>
      <c r="L184" s="25" t="inlineStr">
        <is>
          <t>Asset Management and Financial Advisory Services</t>
        </is>
      </c>
      <c r="M184" s="25" t="inlineStr">
        <is>
          <t>Investment Services</t>
        </is>
      </c>
      <c r="N184" s="25" t="inlineStr">
        <is>
          <t>Investment Services</t>
        </is>
      </c>
      <c r="O184" s="30" t="inlineStr">
        <is>
          <t>Funds Management and Advisors</t>
        </is>
      </c>
      <c r="P184" s="28" t="n">
        <v>42.268</v>
      </c>
      <c r="Q184" s="28" t="n">
        <v>612.175013988962</v>
      </c>
      <c r="R184" s="28" t="n">
        <v>431.971</v>
      </c>
      <c r="S184" s="28" t="n">
        <v>1376.04522567883</v>
      </c>
      <c r="T184" s="28" t="n">
        <v>95.00989030749869</v>
      </c>
      <c r="U184" s="28" t="n">
        <v>970.983186477252</v>
      </c>
    </row>
    <row r="185" ht="15" customHeight="1">
      <c r="A185" s="25" t="inlineStr">
        <is>
          <t>PNI-AU</t>
        </is>
      </c>
      <c r="B185" s="25" t="inlineStr">
        <is>
          <t>Pinnacle Investment Management Group Ltd.</t>
        </is>
      </c>
      <c r="C185" s="25" t="inlineStr">
        <is>
          <t>Public</t>
        </is>
      </c>
      <c r="D185" s="25" t="inlineStr">
        <is>
          <t>Australia</t>
        </is>
      </c>
      <c r="E185" s="26" t="n">
        <v>2002</v>
      </c>
      <c r="F185" s="27" t="inlineStr">
        <is>
          <t>-</t>
        </is>
      </c>
      <c r="G185" s="28" t="n">
        <v>77.809</v>
      </c>
      <c r="H185" s="25" t="inlineStr">
        <is>
          <t>Pacific</t>
        </is>
      </c>
      <c r="I185" s="25" t="inlineStr">
        <is>
          <t>New South Wales (NSW)</t>
        </is>
      </c>
      <c r="J185" s="28" t="n">
        <v>1060.97002614921</v>
      </c>
      <c r="K185" s="25" t="inlineStr">
        <is>
          <t>Pinnacle Investment Management Group Ltd. engages in the provision of distribution services and business support as well as building and operating management businesses. The company was founded by Ian Macoun on April 23, 2002, and is headquartered in Sydney, Australia.</t>
        </is>
      </c>
      <c r="L185" s="25" t="inlineStr">
        <is>
          <t>Asset Management and Financial Advisory Services</t>
        </is>
      </c>
      <c r="M185" s="25" t="inlineStr">
        <is>
          <t>Investment Services</t>
        </is>
      </c>
      <c r="N185" s="25" t="inlineStr">
        <is>
          <t>Investment Services</t>
        </is>
      </c>
      <c r="O185" s="30" t="inlineStr">
        <is>
          <t>Institutional and High-Net Advisory Services</t>
        </is>
      </c>
      <c r="P185" s="28" t="n">
        <v>75.50399999999991</v>
      </c>
      <c r="Q185" s="28" t="n">
        <v>24.3849974110364</v>
      </c>
      <c r="R185" s="28" t="n">
        <v>134.427</v>
      </c>
      <c r="S185" s="28" t="n">
        <v>31.3395622614351</v>
      </c>
      <c r="T185" s="28" t="n">
        <v>97.0376177563007</v>
      </c>
      <c r="U185" s="28" t="n">
        <v>172.765361333522</v>
      </c>
    </row>
    <row r="186" ht="15" customHeight="1">
      <c r="A186" s="25" t="inlineStr">
        <is>
          <t>LIC-AU</t>
        </is>
      </c>
      <c r="B186" s="25" t="inlineStr">
        <is>
          <t>Lifestyle Communities Ltd.</t>
        </is>
      </c>
      <c r="C186" s="25" t="inlineStr">
        <is>
          <t>Public</t>
        </is>
      </c>
      <c r="D186" s="25" t="inlineStr">
        <is>
          <t>Australia</t>
        </is>
      </c>
      <c r="E186" s="26" t="n">
        <v>2003</v>
      </c>
      <c r="F186" s="27" t="n">
        <v>164</v>
      </c>
      <c r="G186" s="28" t="n">
        <v>148.581</v>
      </c>
      <c r="H186" s="25" t="inlineStr">
        <is>
          <t>Pacific</t>
        </is>
      </c>
      <c r="I186" s="25" t="inlineStr">
        <is>
          <t>Victoria (VIC)</t>
        </is>
      </c>
      <c r="J186" s="28" t="n">
        <v>1348.32903323161</v>
      </c>
      <c r="K186" s="25" t="inlineStr">
        <is>
          <t>Lifestyle Communities Ltd. engages in the development, ownership, and management of land lease communities. It offers independent living residential land lease communities for senior citizens, as well as home designs, resort lifestyle homes with various sports and entertainment facilities. The company was founded by Dael S. Perlov, Bruce Carter, and James L. Kelly in 2003 and is headquartered in South Melbourne, Australia.</t>
        </is>
      </c>
      <c r="L186" s="25" t="inlineStr">
        <is>
          <t>Other Real Estate Investment and Services</t>
        </is>
      </c>
      <c r="M186" s="25" t="inlineStr">
        <is>
          <t>Real Estate Investment and Services</t>
        </is>
      </c>
      <c r="N186" s="25" t="inlineStr">
        <is>
          <t>Real Estate</t>
        </is>
      </c>
      <c r="O186" s="30" t="inlineStr">
        <is>
          <t>Real Estate Developers</t>
        </is>
      </c>
      <c r="P186" s="28" t="n">
        <v>-16.851</v>
      </c>
      <c r="Q186" s="28" t="n">
        <v>-59.9210053791973</v>
      </c>
      <c r="R186" s="28" t="n">
        <v>-195.270999999999</v>
      </c>
      <c r="S186" s="28" t="n">
        <v>-40.3288441994602</v>
      </c>
      <c r="T186" s="28" t="n">
        <v>-11.341288590062</v>
      </c>
      <c r="U186" s="28" t="n">
        <v>-131.423937111744</v>
      </c>
    </row>
    <row r="187" ht="15" customHeight="1">
      <c r="A187" s="25" t="inlineStr">
        <is>
          <t>NWH-AU</t>
        </is>
      </c>
      <c r="B187" s="25" t="inlineStr">
        <is>
          <t>NRW Holdings Ltd.</t>
        </is>
      </c>
      <c r="C187" s="25" t="inlineStr">
        <is>
          <t>Public</t>
        </is>
      </c>
      <c r="D187" s="25" t="inlineStr">
        <is>
          <t>Australia</t>
        </is>
      </c>
      <c r="E187" s="26" t="n">
        <v>2006</v>
      </c>
      <c r="F187" s="27" t="n">
        <v>8800</v>
      </c>
      <c r="G187" s="28" t="n">
        <v>3267.69</v>
      </c>
      <c r="H187" s="25" t="inlineStr">
        <is>
          <t>Pacific</t>
        </is>
      </c>
      <c r="I187" s="25" t="inlineStr">
        <is>
          <t>Western Australia (WA)</t>
        </is>
      </c>
      <c r="J187" s="28" t="n">
        <v>1812.03104466025</v>
      </c>
      <c r="K187" s="25" t="inlineStr">
        <is>
          <t>NRW Holdings Ltd. engages in the provision of civil contracting and mining services. It operates through the following business segments: Mining Technologies, Civil, Mining, and Drill and Blast. The Civil segment is comprised of civil business of NRW together with the Golding Civil and Urban businesses. The Mining segment consolidates the mining businesses of NEW and Golding together with the mining support business AES equipment solutions of NRW. The Drill and Blast segment is consist of action drill and blast. The Mining Technologies segment provides materials handling services as well as facility maintenance and shutdown services. The company was founded by Jeffery William McGlinn and Nicholas John Ross Silverthorne in 1994 and is headquartered in Belmont, Australia.</t>
        </is>
      </c>
      <c r="L187" s="25" t="inlineStr">
        <is>
          <t>Infrastructure Construction/Contracting Services</t>
        </is>
      </c>
      <c r="M187" s="25" t="inlineStr">
        <is>
          <t>Facilities and Construction Services</t>
        </is>
      </c>
      <c r="N187" s="25" t="inlineStr">
        <is>
          <t>Industrial Services</t>
        </is>
      </c>
      <c r="O187" s="30" t="inlineStr">
        <is>
          <t>Diverse Construction and Engineering Services</t>
        </is>
      </c>
      <c r="P187" s="28" t="n">
        <v>479.061999999999</v>
      </c>
      <c r="Q187" s="28" t="n">
        <v>249.144995590326</v>
      </c>
      <c r="R187" s="28" t="n">
        <v>27.6739999999999</v>
      </c>
      <c r="S187" s="28" t="n">
        <v>7.62449926400607</v>
      </c>
      <c r="T187" s="28" t="n">
        <v>14.6605706171638</v>
      </c>
      <c r="U187" s="28" t="n">
        <v>0.846897961556941</v>
      </c>
    </row>
    <row r="188" ht="15" customHeight="1">
      <c r="A188" s="25" t="inlineStr">
        <is>
          <t>BBC-AU</t>
        </is>
      </c>
      <c r="B188" s="25" t="inlineStr">
        <is>
          <t>BNK Banking Corp. Ltd.</t>
        </is>
      </c>
      <c r="C188" s="25" t="inlineStr">
        <is>
          <t>Public</t>
        </is>
      </c>
      <c r="D188" s="25" t="inlineStr">
        <is>
          <t>Australia</t>
        </is>
      </c>
      <c r="E188" s="26" t="n">
        <v>1982</v>
      </c>
      <c r="F188" s="27" t="inlineStr">
        <is>
          <t>-</t>
        </is>
      </c>
      <c r="G188" s="28" t="n">
        <v>91.15299999999991</v>
      </c>
      <c r="H188" s="25" t="inlineStr">
        <is>
          <t>Pacific</t>
        </is>
      </c>
      <c r="I188" s="25" t="inlineStr">
        <is>
          <t>Western Australia (WA)</t>
        </is>
      </c>
      <c r="J188" s="28" t="n">
        <v>1237.10303049028</v>
      </c>
      <c r="K188" s="25" t="inlineStr">
        <is>
          <t>BNK Banking Corp. Ltd. is a diversified financial services company. which engages in the provision of retail banking, mortgage management and mortgage broker aggregation services. It operates through the following segments: Banking and Aggregation. The Banking segment refers to the provision of banking products and services such as loans and deposits under the Goldfields Money and Better Choice Home Loans brands. The Aggregation segment, operating as Finsure, provides contracted administrative and infrastructure support to mortgage brokers. The firm also offers lending products such as owner occupier home loans, investment loans, commercial loans, personal loans, and overdrafts. The company was founded on June 1, 1982 and is headquartered in Perth, Australia.</t>
        </is>
      </c>
      <c r="L188" s="25" t="inlineStr">
        <is>
          <t>Asia/Pacific Banks</t>
        </is>
      </c>
      <c r="M188" s="25" t="inlineStr">
        <is>
          <t>International Banks</t>
        </is>
      </c>
      <c r="N188" s="25" t="inlineStr">
        <is>
          <t>Banking</t>
        </is>
      </c>
      <c r="O188" s="30" t="inlineStr">
        <is>
          <t>Australia and New Zealand Banks</t>
        </is>
      </c>
      <c r="P188" s="28" t="inlineStr">
        <is>
          <t>-</t>
        </is>
      </c>
      <c r="Q188" s="28" t="inlineStr">
        <is>
          <t>-</t>
        </is>
      </c>
      <c r="R188" s="28" t="n">
        <v>1.28299999999999</v>
      </c>
      <c r="S188" s="28" t="inlineStr">
        <is>
          <t>-</t>
        </is>
      </c>
      <c r="T188" s="28" t="inlineStr">
        <is>
          <t>-</t>
        </is>
      </c>
      <c r="U188" s="28" t="n">
        <v>1.40752361414325</v>
      </c>
    </row>
    <row r="189" ht="15" customHeight="1">
      <c r="A189" s="25" t="inlineStr">
        <is>
          <t>MFG-AU</t>
        </is>
      </c>
      <c r="B189" s="25" t="inlineStr">
        <is>
          <t>Magellan Financial Group Ltd.</t>
        </is>
      </c>
      <c r="C189" s="25" t="inlineStr">
        <is>
          <t>Public</t>
        </is>
      </c>
      <c r="D189" s="25" t="inlineStr">
        <is>
          <t>Australia</t>
        </is>
      </c>
      <c r="E189" s="26" t="n">
        <v>2004</v>
      </c>
      <c r="F189" s="27" t="n">
        <v>111</v>
      </c>
      <c r="G189" s="28" t="n">
        <v>300.389999999999</v>
      </c>
      <c r="H189" s="25" t="inlineStr">
        <is>
          <t>Pacific</t>
        </is>
      </c>
      <c r="I189" s="25" t="inlineStr">
        <is>
          <t>New South Wales (NSW)</t>
        </is>
      </c>
      <c r="J189" s="28" t="n">
        <v>1093.75602695727</v>
      </c>
      <c r="K189" s="25" t="inlineStr">
        <is>
          <t>Magellan Financial Group Ltd. engages in the provision of funds management services. It operates through the following segments: Funds Management, Fund Investments, Magellan Capital Partners, and Corporate. The Funds Management segment provides investment research, administrative services, investment management, and sub-advisory services. The Fund Investments segment includes the direct investment in certain Magellan Funds and a select portfolio of listed Australian and international equities. The Magellan Capital Partners segment comprises a portfolio of selective investments in businesses in which the company has a strategic interest. The Corporate segment focuses on treasury management activities, corporate development and strategy activities, and the costs associated with governance and corporate management. The company was founded by Hamish Macquarie Douglass and Christopher John Mackay on March 19, 2004 and is headquartered in Sydney, Australia.</t>
        </is>
      </c>
      <c r="L189" s="25" t="inlineStr">
        <is>
          <t>Asset Management and Financial Advisory Services</t>
        </is>
      </c>
      <c r="M189" s="25" t="inlineStr">
        <is>
          <t>Investment Services</t>
        </is>
      </c>
      <c r="N189" s="25" t="inlineStr">
        <is>
          <t>Investment Services</t>
        </is>
      </c>
      <c r="O189" s="30" t="inlineStr">
        <is>
          <t>Diverse Asset Management and Financial Advisors</t>
        </is>
      </c>
      <c r="P189" s="28" t="n">
        <v>281.811999999999</v>
      </c>
      <c r="Q189" s="28" t="n">
        <v>207.982017851407</v>
      </c>
      <c r="R189" s="28" t="n">
        <v>165.022</v>
      </c>
      <c r="S189" s="28" t="n">
        <v>69.23732481107891</v>
      </c>
      <c r="T189" s="28" t="n">
        <v>93.81537334798099</v>
      </c>
      <c r="U189" s="28" t="n">
        <v>54.9359166416991</v>
      </c>
    </row>
    <row r="190" ht="15" customHeight="1">
      <c r="A190" s="25" t="inlineStr">
        <is>
          <t>SXE-AU</t>
        </is>
      </c>
      <c r="B190" s="25" t="inlineStr">
        <is>
          <t>Southern Cross Electrical Engineering Ltd.</t>
        </is>
      </c>
      <c r="C190" s="25" t="inlineStr">
        <is>
          <t>Public</t>
        </is>
      </c>
      <c r="D190" s="25" t="inlineStr">
        <is>
          <t>Australia</t>
        </is>
      </c>
      <c r="E190" s="26" t="n">
        <v>1978</v>
      </c>
      <c r="F190" s="27" t="n">
        <v>1900</v>
      </c>
      <c r="G190" s="28" t="n">
        <v>801.453999999999</v>
      </c>
      <c r="H190" s="25" t="inlineStr">
        <is>
          <t>Pacific</t>
        </is>
      </c>
      <c r="I190" s="25" t="inlineStr">
        <is>
          <t>Western Australia (WA)</t>
        </is>
      </c>
      <c r="J190" s="28" t="n">
        <v>435.569010735259</v>
      </c>
      <c r="K190" s="25" t="inlineStr">
        <is>
          <t>Southern Cross Electrical Engineering Ltd. engages in the provision of electrical, instrumentation, communication, and maintenance services. It operates through the Australia geographical segment. The company was founded by Gianfranco Tomasi in 1978 and is headquartered in Perth, Australia.</t>
        </is>
      </c>
      <c r="L190" s="25" t="inlineStr">
        <is>
          <t>Specialty Contracting Services</t>
        </is>
      </c>
      <c r="M190" s="25" t="inlineStr">
        <is>
          <t>Facilities and Construction Services</t>
        </is>
      </c>
      <c r="N190" s="25" t="inlineStr">
        <is>
          <t>Industrial Services</t>
        </is>
      </c>
      <c r="O190" s="30" t="inlineStr">
        <is>
          <t>Specialty Engineering Contractors</t>
        </is>
      </c>
      <c r="P190" s="28" t="n">
        <v>67.3679999999999</v>
      </c>
      <c r="Q190" s="28" t="n">
        <v>56.9429977922448</v>
      </c>
      <c r="R190" s="28" t="n">
        <v>31.6699999999999</v>
      </c>
      <c r="S190" s="28" t="n">
        <v>7.104961732052</v>
      </c>
      <c r="T190" s="28" t="n">
        <v>8.40572259917599</v>
      </c>
      <c r="U190" s="28" t="n">
        <v>3.95156802511436</v>
      </c>
    </row>
    <row r="191" ht="15" customHeight="1">
      <c r="A191" s="25" t="inlineStr">
        <is>
          <t>BFG-AU</t>
        </is>
      </c>
      <c r="B191" s="25" t="inlineStr">
        <is>
          <t>Bell Financial Group Ltd.</t>
        </is>
      </c>
      <c r="C191" s="25" t="inlineStr">
        <is>
          <t>Public</t>
        </is>
      </c>
      <c r="D191" s="25" t="inlineStr">
        <is>
          <t>Australia</t>
        </is>
      </c>
      <c r="E191" s="26" t="n">
        <v>1998</v>
      </c>
      <c r="F191" s="27" t="n">
        <v>719</v>
      </c>
      <c r="G191" s="28" t="n">
        <v>278.984999999999</v>
      </c>
      <c r="H191" s="25" t="inlineStr">
        <is>
          <t>Pacific</t>
        </is>
      </c>
      <c r="I191" s="25" t="inlineStr">
        <is>
          <t>Victoria (VIC)</t>
        </is>
      </c>
      <c r="J191" s="28" t="n">
        <v>1053.96496730784</v>
      </c>
      <c r="K191" s="25" t="inlineStr">
        <is>
          <t>Bell Financial Group Ltd. engages in the provision of stockbroking, investment, and financial advisory services. It operates through the following segments: Technology and Platforms; Products and Services; Retail; and Institutional. The Technology and Platforms segment includes proprietary technology and platforms including online broking. The Products and Services segment focuses on margin lending, cash, portfolio administration, and superannuation solutions products and services. The Retail segment is involved in traditional retail client broking. The Institutional segment offers traditional wholesale client broking. The company was founded by Colin Morton Bell in 1970 and is headquartered in Melbourne, Australia.</t>
        </is>
      </c>
      <c r="L191" s="25" t="inlineStr">
        <is>
          <t>Securities Sales and Trading Services</t>
        </is>
      </c>
      <c r="M191" s="25" t="inlineStr">
        <is>
          <t>Investment Services</t>
        </is>
      </c>
      <c r="N191" s="25" t="inlineStr">
        <is>
          <t>Investment Services</t>
        </is>
      </c>
      <c r="O191" s="30" t="inlineStr">
        <is>
          <t>Brokerage Services</t>
        </is>
      </c>
      <c r="P191" s="28" t="n">
        <v>268.208999999999</v>
      </c>
      <c r="Q191" s="28" t="n">
        <v>78.68601322810269</v>
      </c>
      <c r="R191" s="28" t="n">
        <v>30.741</v>
      </c>
      <c r="S191" s="28" t="n">
        <v>28.2043837482302</v>
      </c>
      <c r="T191" s="28" t="n">
        <v>96.1374267433733</v>
      </c>
      <c r="U191" s="28" t="n">
        <v>11.0188719823646</v>
      </c>
    </row>
    <row r="192" ht="15" customHeight="1">
      <c r="A192" s="25" t="inlineStr">
        <is>
          <t>BGL-AU</t>
        </is>
      </c>
      <c r="B192" s="25" t="inlineStr">
        <is>
          <t>Bellevue Gold Ltd.</t>
        </is>
      </c>
      <c r="C192" s="25" t="inlineStr">
        <is>
          <t>Public</t>
        </is>
      </c>
      <c r="D192" s="25" t="inlineStr">
        <is>
          <t>Australia</t>
        </is>
      </c>
      <c r="E192" s="26" t="n">
        <v>2004</v>
      </c>
      <c r="F192" s="27" t="n">
        <v>230</v>
      </c>
      <c r="G192" s="28" t="n">
        <v>505.836999999999</v>
      </c>
      <c r="H192" s="25" t="inlineStr">
        <is>
          <t>Pacific</t>
        </is>
      </c>
      <c r="I192" s="25" t="inlineStr">
        <is>
          <t>Western Australia (WA)</t>
        </is>
      </c>
      <c r="J192" s="28" t="n">
        <v>1445.54603562767</v>
      </c>
      <c r="K192" s="25" t="inlineStr">
        <is>
          <t>Bellevue Gold Ltd. engages in the exploration and evaluation of minerals and mine development in Australia. Its projects include Bellevue Gold, other regional exploration, and evaluation activities within Western Australia. The company was founded on October 11, 2004 and is headquartered in West Perth, Australia.</t>
        </is>
      </c>
      <c r="L192" s="25" t="inlineStr">
        <is>
          <t>Precious Metal Mining</t>
        </is>
      </c>
      <c r="M192" s="25" t="inlineStr">
        <is>
          <t>Metal Ore Mining</t>
        </is>
      </c>
      <c r="N192" s="25" t="inlineStr">
        <is>
          <t>Mining and Mineral Products</t>
        </is>
      </c>
      <c r="O192" s="30" t="inlineStr">
        <is>
          <t>Asia/Pacific Gold Mining</t>
        </is>
      </c>
      <c r="P192" s="28" t="n">
        <v>98.7679999999999</v>
      </c>
      <c r="Q192" s="28" t="n">
        <v>222.543998600094</v>
      </c>
      <c r="R192" s="28" t="n">
        <v>-45.8889999999999</v>
      </c>
      <c r="S192" s="28" t="n">
        <v>43.9952000347938</v>
      </c>
      <c r="T192" s="28" t="n">
        <v>19.525657474641</v>
      </c>
      <c r="U192" s="28" t="n">
        <v>-9.07189470125752</v>
      </c>
    </row>
    <row r="193" ht="15" customHeight="1">
      <c r="A193" s="25" t="inlineStr">
        <is>
          <t>DXS-AU</t>
        </is>
      </c>
      <c r="B193" s="25" t="inlineStr">
        <is>
          <t>Dexus</t>
        </is>
      </c>
      <c r="C193" s="25" t="inlineStr">
        <is>
          <t>Public</t>
        </is>
      </c>
      <c r="D193" s="25" t="inlineStr">
        <is>
          <t>Australia</t>
        </is>
      </c>
      <c r="E193" s="26" t="n">
        <v>2004</v>
      </c>
      <c r="F193" s="27" t="n">
        <v>900</v>
      </c>
      <c r="G193" s="28" t="n">
        <v>1007.6</v>
      </c>
      <c r="H193" s="25" t="inlineStr">
        <is>
          <t>Pacific</t>
        </is>
      </c>
      <c r="I193" s="25" t="inlineStr">
        <is>
          <t>New South Wales (NSW)</t>
        </is>
      </c>
      <c r="J193" s="28" t="n">
        <v>15388.6003792754</v>
      </c>
      <c r="K193" s="25" t="inlineStr">
        <is>
          <t>Dexus engages in real estate investments, leasing, and tenant services. It operates through the following segments: Office, Industrial, Co-Investment, Property Management, Funds Management, Development and Trading, and All Other. The Office segment offers domestic space with any associated retail space, car parks, and developments. The Industrial segment consists of domestic industrial properties, industrial estates, and developments. The Co-Investment segment focuses on income distribution earned from investments in pooled real assets and funds. The Property Management segment provides management services for third party clients and owned assets. The Funds Management segment offers management of third-party client assets. The Development and Trading segment includes the revenue earned and costs incurred on developments and inventory. The All Other segment involves the corporate expenses associated with maintaining and operating, and the treasury function managed through a centralized treasury department. The company was founded in 2004 and is headquartered in Sydney, Australia.</t>
        </is>
      </c>
      <c r="L193" s="25" t="inlineStr">
        <is>
          <t>Equity REITs</t>
        </is>
      </c>
      <c r="M193" s="25" t="inlineStr">
        <is>
          <t>Real Estate Investment Trusts (REITs)</t>
        </is>
      </c>
      <c r="N193" s="25" t="inlineStr">
        <is>
          <t>Real Estate</t>
        </is>
      </c>
      <c r="O193" s="30" t="inlineStr">
        <is>
          <t>Equity REITs</t>
        </is>
      </c>
      <c r="P193" s="28" t="n">
        <v>698.1</v>
      </c>
      <c r="Q193" s="28" t="n">
        <v>172.600001896648</v>
      </c>
      <c r="R193" s="28" t="n">
        <v>3.40000000000001</v>
      </c>
      <c r="S193" s="28" t="n">
        <v>17.129813418023</v>
      </c>
      <c r="T193" s="28" t="n">
        <v>69.28344581183011</v>
      </c>
      <c r="U193" s="28" t="n">
        <v>0.337435490273919</v>
      </c>
    </row>
    <row r="194" ht="15" customHeight="1">
      <c r="A194" s="25" t="inlineStr">
        <is>
          <t>HUB-AU</t>
        </is>
      </c>
      <c r="B194" s="25" t="inlineStr">
        <is>
          <t>HUB24 Ltd.</t>
        </is>
      </c>
      <c r="C194" s="25" t="inlineStr">
        <is>
          <t>Public</t>
        </is>
      </c>
      <c r="D194" s="25" t="inlineStr">
        <is>
          <t>Australia</t>
        </is>
      </c>
      <c r="E194" s="26" t="n">
        <v>2007</v>
      </c>
      <c r="F194" s="27" t="n">
        <v>962</v>
      </c>
      <c r="G194" s="28" t="n">
        <v>406.572999999999</v>
      </c>
      <c r="H194" s="25" t="inlineStr">
        <is>
          <t>Pacific</t>
        </is>
      </c>
      <c r="I194" s="25" t="inlineStr">
        <is>
          <t>New South Wales (NSW)</t>
        </is>
      </c>
      <c r="J194" s="28" t="n">
        <v>690.483017018003</v>
      </c>
      <c r="K194" s="25" t="inlineStr">
        <is>
          <t>HUB24 Ltd. engages in the provision of investment and superannuation portfolio administration and licensee services. It operates through the following segments: Platform, Tech Solutions, and Corporate. The Platform segment develops and provides investment and superannuation platform services to financial advisers, stockbrokers and accountants, and its clients. The Tech Solutions segment comprises of Class and HUBconnect. The Corporate segment includes property, strategy, finance, risk and compliance, legal, human resources, and other corporate services. The company was founded on April 13, 2007 and is headquartered in Sydney, Australia.</t>
        </is>
      </c>
      <c r="L194" s="25" t="inlineStr">
        <is>
          <t>Finance Software and Services</t>
        </is>
      </c>
      <c r="M194" s="25" t="inlineStr">
        <is>
          <t>Finance Software and Services</t>
        </is>
      </c>
      <c r="N194" s="25" t="inlineStr">
        <is>
          <t>Specialty Finance and Services</t>
        </is>
      </c>
      <c r="O194" s="30" t="inlineStr">
        <is>
          <t>Finance Industry Software</t>
        </is>
      </c>
      <c r="P194" s="28" t="n">
        <v>327.031999999999</v>
      </c>
      <c r="Q194" s="28" t="n">
        <v>146.527006199734</v>
      </c>
      <c r="R194" s="28" t="n">
        <v>79.4849999999999</v>
      </c>
      <c r="S194" s="28" t="n">
        <v>36.039530416432</v>
      </c>
      <c r="T194" s="28" t="n">
        <v>80.43623162384119</v>
      </c>
      <c r="U194" s="28" t="n">
        <v>19.5499947118968</v>
      </c>
    </row>
    <row r="195" ht="15" customHeight="1">
      <c r="A195" s="25" t="inlineStr">
        <is>
          <t>BEN-AU</t>
        </is>
      </c>
      <c r="B195" s="25" t="inlineStr">
        <is>
          <t>Bendigo &amp; Adelaide Bank Ltd.</t>
        </is>
      </c>
      <c r="C195" s="25" t="inlineStr">
        <is>
          <t>Public</t>
        </is>
      </c>
      <c r="D195" s="25" t="inlineStr">
        <is>
          <t>Australia</t>
        </is>
      </c>
      <c r="E195" s="26" t="n">
        <v>1858</v>
      </c>
      <c r="F195" s="27" t="n">
        <v>4762</v>
      </c>
      <c r="G195" s="28" t="n">
        <v>5241.49999999999</v>
      </c>
      <c r="H195" s="25" t="inlineStr">
        <is>
          <t>Pacific</t>
        </is>
      </c>
      <c r="I195" s="25" t="inlineStr">
        <is>
          <t>Victoria (VIC)</t>
        </is>
      </c>
      <c r="J195" s="28" t="n">
        <v>103218.902543986</v>
      </c>
      <c r="K195" s="25" t="inlineStr">
        <is>
          <t>Bendigo &amp; Adelaide Bank Ltd. engages in banking and financial services including consumer, residential, business, rural and commercial lending, deposit-taking, payments and foreign exchange services, wealth management, margin lending, superannuation, and treasury. It operates through the following segments: Consumer, Business and Agribusiness, and Corporate. The Consumer segment focuses on engaging with and servicing consumer customers and includes the branch network, digital bank, mobile relationship managers, third party banking channels, wealth services, cards and payments, Homesafe, and customer support functions. The Business and Agribusiness segment is involved in servicing business customers and includes business banking, portfolio funding, and agribusiness. The Corporate segment represents the support functions including treasury, technology, property services, strategy, finance, risk, compliance, legal, human resources, and investor relations. The company was founded on July 9, 1858 and is headquartered in Bendigo, Australia.</t>
        </is>
      </c>
      <c r="L195" s="25" t="inlineStr">
        <is>
          <t>Asia/Pacific Banks</t>
        </is>
      </c>
      <c r="M195" s="25" t="inlineStr">
        <is>
          <t>International Banks</t>
        </is>
      </c>
      <c r="N195" s="25" t="inlineStr">
        <is>
          <t>Banking</t>
        </is>
      </c>
      <c r="O195" s="30" t="inlineStr">
        <is>
          <t>Australia and New Zealand Banks</t>
        </is>
      </c>
      <c r="P195" s="28" t="inlineStr">
        <is>
          <t>-</t>
        </is>
      </c>
      <c r="Q195" s="28" t="inlineStr">
        <is>
          <t>-</t>
        </is>
      </c>
      <c r="R195" s="28" t="n">
        <v>-97.09999999999999</v>
      </c>
      <c r="S195" s="28" t="inlineStr">
        <is>
          <t>-</t>
        </is>
      </c>
      <c r="T195" s="28" t="inlineStr">
        <is>
          <t>-</t>
        </is>
      </c>
      <c r="U195" s="28" t="n">
        <v>-1.85252313269102</v>
      </c>
    </row>
    <row r="196" ht="15" customHeight="1">
      <c r="A196" s="25" t="inlineStr">
        <is>
          <t>CMM-AU</t>
        </is>
      </c>
      <c r="B196" s="25" t="inlineStr">
        <is>
          <t>Capricorn Metals Ltd.</t>
        </is>
      </c>
      <c r="C196" s="25" t="inlineStr">
        <is>
          <t>Public</t>
        </is>
      </c>
      <c r="D196" s="25" t="inlineStr">
        <is>
          <t>Australia</t>
        </is>
      </c>
      <c r="E196" s="26" t="n">
        <v>2006</v>
      </c>
      <c r="F196" s="27" t="inlineStr">
        <is>
          <t>-</t>
        </is>
      </c>
      <c r="G196" s="28" t="n">
        <v>528.2089999999999</v>
      </c>
      <c r="H196" s="25" t="inlineStr">
        <is>
          <t>Pacific</t>
        </is>
      </c>
      <c r="I196" s="25" t="inlineStr">
        <is>
          <t>Western Australia (WA)</t>
        </is>
      </c>
      <c r="J196" s="28" t="n">
        <v>1071.49202640854</v>
      </c>
      <c r="K196" s="25" t="inlineStr">
        <is>
          <t>Capricorn Metals Ltd. engages in the mineral and gold exploration, development, and project evaluation. It operates through the Karlawinda and Mt Gibson segments. The company was founded on September 22, 2006 and is headquartered in West Perth, Australia.</t>
        </is>
      </c>
      <c r="L196" s="25" t="inlineStr">
        <is>
          <t>Precious Metal Mining</t>
        </is>
      </c>
      <c r="M196" s="25" t="inlineStr">
        <is>
          <t>Metal Ore Mining</t>
        </is>
      </c>
      <c r="N196" s="25" t="inlineStr">
        <is>
          <t>Mining and Mineral Products</t>
        </is>
      </c>
      <c r="O196" s="30" t="inlineStr">
        <is>
          <t>Asia/Pacific Gold Mining</t>
        </is>
      </c>
      <c r="P196" s="28" t="n">
        <v>275.83</v>
      </c>
      <c r="Q196" s="28" t="n">
        <v>299.198993206584</v>
      </c>
      <c r="R196" s="28" t="n">
        <v>150.277</v>
      </c>
      <c r="S196" s="28" t="n">
        <v>56.6440556673589</v>
      </c>
      <c r="T196" s="28" t="n">
        <v>52.2198599418033</v>
      </c>
      <c r="U196" s="28" t="n">
        <v>28.4502914566015</v>
      </c>
    </row>
    <row r="197" ht="15" customHeight="1">
      <c r="A197" s="25" t="inlineStr">
        <is>
          <t>PGC-AU</t>
        </is>
      </c>
      <c r="B197" s="25" t="inlineStr">
        <is>
          <t>Paragon Care Ltd.</t>
        </is>
      </c>
      <c r="C197" s="25" t="inlineStr">
        <is>
          <t>Public</t>
        </is>
      </c>
      <c r="D197" s="25" t="inlineStr">
        <is>
          <t>Australia</t>
        </is>
      </c>
      <c r="E197" s="26" t="n">
        <v>1994</v>
      </c>
      <c r="F197" s="27" t="inlineStr">
        <is>
          <t>-</t>
        </is>
      </c>
      <c r="G197" s="28" t="n">
        <v>3613.88699999999</v>
      </c>
      <c r="H197" s="25" t="inlineStr">
        <is>
          <t>Pacific</t>
        </is>
      </c>
      <c r="I197" s="25" t="inlineStr">
        <is>
          <t>Victoria (VIC)</t>
        </is>
      </c>
      <c r="J197" s="28" t="n">
        <v>1276.43903145977</v>
      </c>
      <c r="K197" s="25" t="inlineStr">
        <is>
          <t>Paragon Care Ltd. engages in supplying medical equipment to the health and aged care markets. It operates through the following segments: Diagnostic and Scientific, Devices, Capital and Consumables, and Service and Technology. The Diagnostic and Scientific segment is involved in blood bank diagnostics manufacturer, clinical pathology diagnostics distribution, and scientific and research and development laboratory equipment distribution. The Devices segment focuses on ophthalmology and optometry, orthopedics, pain management, infection prevention, and OrthoBiologics. The Capital and Consumables segment offers medical, surgical, and veterinary services. The Service and Technology segment refers to offering biomedical devices to capital equipment, service support and technology management, and service partnership brands. The company was founded in 1994 and is headquartered in Mt. Waverley, Australia.</t>
        </is>
      </c>
      <c r="L197" s="25" t="inlineStr">
        <is>
          <t>Healthcare Distributors</t>
        </is>
      </c>
      <c r="M197" s="25" t="inlineStr">
        <is>
          <t>Healthcare Support Services</t>
        </is>
      </c>
      <c r="N197" s="25" t="inlineStr">
        <is>
          <t>Healthcare Services</t>
        </is>
      </c>
      <c r="O197" s="30" t="inlineStr">
        <is>
          <t>Diversified Healthcare Distributors</t>
        </is>
      </c>
      <c r="P197" s="28" t="n">
        <v>152.273999999999</v>
      </c>
      <c r="Q197" s="28" t="n">
        <v>96.2640006727771</v>
      </c>
      <c r="R197" s="28" t="n">
        <v>20.5739999999999</v>
      </c>
      <c r="S197" s="28" t="n">
        <v>2.66372468203903</v>
      </c>
      <c r="T197" s="28" t="n">
        <v>4.21357945060263</v>
      </c>
      <c r="U197" s="28" t="n">
        <v>0.569303910166533</v>
      </c>
    </row>
    <row r="198" ht="15" customHeight="1">
      <c r="A198" s="25" t="inlineStr">
        <is>
          <t>WAF-AU</t>
        </is>
      </c>
      <c r="B198" s="25" t="inlineStr">
        <is>
          <t>West African Resources Ltd.</t>
        </is>
      </c>
      <c r="C198" s="25" t="inlineStr">
        <is>
          <t>Public</t>
        </is>
      </c>
      <c r="D198" s="25" t="inlineStr">
        <is>
          <t>Australia</t>
        </is>
      </c>
      <c r="E198" s="26" t="n">
        <v>2006</v>
      </c>
      <c r="F198" s="27" t="inlineStr">
        <is>
          <t>-</t>
        </is>
      </c>
      <c r="G198" s="28" t="n">
        <v>724.3680000000001</v>
      </c>
      <c r="H198" s="25" t="inlineStr">
        <is>
          <t>Pacific</t>
        </is>
      </c>
      <c r="I198" s="25" t="inlineStr">
        <is>
          <t>Western Australia (WA)</t>
        </is>
      </c>
      <c r="J198" s="28" t="n">
        <v>1974.29993876065</v>
      </c>
      <c r="K198" s="25" t="inlineStr">
        <is>
          <t>West African Resources Ltd. engages in the exploration and development of mineral properties. It operates through the Mining Operations, and Exploration and Evaluation segments. The Mining Operations segment is involved in the operations of Sanbrado gold project. The Exploration and Evaluation segment relates to the exploration and evaluation activities other than Sanbrado. The company was founded by Richard Hyde on September 1, 2006 and is headquartered in Subiaco, Australia.</t>
        </is>
      </c>
      <c r="L198" s="25" t="inlineStr">
        <is>
          <t>Precious Metal Mining</t>
        </is>
      </c>
      <c r="M198" s="25" t="inlineStr">
        <is>
          <t>Metal Ore Mining</t>
        </is>
      </c>
      <c r="N198" s="25" t="inlineStr">
        <is>
          <t>Mining and Mineral Products</t>
        </is>
      </c>
      <c r="O198" s="30" t="inlineStr">
        <is>
          <t>Other Gold Mining</t>
        </is>
      </c>
      <c r="P198" s="28" t="n">
        <v>342.527</v>
      </c>
      <c r="Q198" s="28" t="n">
        <v>400.373996642484</v>
      </c>
      <c r="R198" s="28" t="n">
        <v>223.843999999999</v>
      </c>
      <c r="S198" s="28" t="n">
        <v>55.2721820952886</v>
      </c>
      <c r="T198" s="28" t="n">
        <v>47.286324078369</v>
      </c>
      <c r="U198" s="28" t="n">
        <v>30.9019724780774</v>
      </c>
    </row>
    <row r="199" ht="15" customHeight="1">
      <c r="A199" s="25" t="inlineStr">
        <is>
          <t>MYE-AU</t>
        </is>
      </c>
      <c r="B199" s="25" t="inlineStr">
        <is>
          <t>Mastermyne Group Ltd.</t>
        </is>
      </c>
      <c r="C199" s="25" t="inlineStr">
        <is>
          <t>Public</t>
        </is>
      </c>
      <c r="D199" s="25" t="inlineStr">
        <is>
          <t>Australia</t>
        </is>
      </c>
      <c r="E199" s="26" t="n">
        <v>2010</v>
      </c>
      <c r="F199" s="27" t="n">
        <v>640</v>
      </c>
      <c r="G199" s="28" t="n">
        <v>213.821</v>
      </c>
      <c r="H199" s="25" t="inlineStr">
        <is>
          <t>Pacific</t>
        </is>
      </c>
      <c r="I199" s="25" t="inlineStr">
        <is>
          <t>Queensland (QLD)</t>
        </is>
      </c>
      <c r="J199" s="28" t="n">
        <v>109.38300269591</v>
      </c>
      <c r="K199" s="25" t="inlineStr">
        <is>
          <t>Mastermyne Group Ltd. engages in the provision of contracting services to the mining sector. It operates through the Mastermyne and Mastertec business segments. The Mastermyne segment provides project management, labor and equipment hire, underground conveyor installation, extension and maintenance, underground roadway development, underground ventilation device installation, bulk materials handling system installation and relocation and underground mine support services. The Mastertec segment integrates the services acquired through diversified mining services; provides above-ground contracting services; and offers scaffolding and rigging, blast and paint, pipeline services, sustainable capital works, fabrication and machining, training and engineering and technical services. The company was founded by Darren William Hamblin and Andrew Dominic Watts in 1996 and is headquartered in Mackay, Australia.</t>
        </is>
      </c>
      <c r="L199" s="25" t="inlineStr">
        <is>
          <t>Specialty Contracting Services</t>
        </is>
      </c>
      <c r="M199" s="25" t="inlineStr">
        <is>
          <t>Facilities and Construction Services</t>
        </is>
      </c>
      <c r="N199" s="25" t="inlineStr">
        <is>
          <t>Industrial Services</t>
        </is>
      </c>
      <c r="O199" s="30" t="inlineStr">
        <is>
          <t>Industrial Specialty Engineering Contractors</t>
        </is>
      </c>
      <c r="P199" s="28" t="n">
        <v>13.5819999999999</v>
      </c>
      <c r="Q199" s="28" t="n">
        <v>11.0960101007186</v>
      </c>
      <c r="R199" s="28" t="n">
        <v>1.671</v>
      </c>
      <c r="S199" s="28" t="n">
        <v>5.18938738477512</v>
      </c>
      <c r="T199" s="28" t="n">
        <v>6.35204212869643</v>
      </c>
      <c r="U199" s="28" t="n">
        <v>0.781494801726678</v>
      </c>
    </row>
    <row r="200" ht="15" customHeight="1">
      <c r="A200" s="25" t="inlineStr">
        <is>
          <t>ELD-AU</t>
        </is>
      </c>
      <c r="B200" s="25" t="inlineStr">
        <is>
          <t>Elders Ltd.</t>
        </is>
      </c>
      <c r="C200" s="25" t="inlineStr">
        <is>
          <t>Public</t>
        </is>
      </c>
      <c r="D200" s="25" t="inlineStr">
        <is>
          <t>Australia</t>
        </is>
      </c>
      <c r="E200" s="26" t="n">
        <v>1955</v>
      </c>
      <c r="F200" s="27" t="inlineStr">
        <is>
          <t>-</t>
        </is>
      </c>
      <c r="G200" s="28" t="n">
        <v>3131.28999999999</v>
      </c>
      <c r="H200" s="25" t="inlineStr">
        <is>
          <t>Pacific</t>
        </is>
      </c>
      <c r="I200" s="25" t="inlineStr">
        <is>
          <t>South Australia (SA)</t>
        </is>
      </c>
      <c r="J200" s="28" t="n">
        <v>2326.46403986706</v>
      </c>
      <c r="K200" s="25" t="inlineStr">
        <is>
          <t>Elders Ltd. is engaged in providing financial, real estate services to rural, agricultural and automotive businesses. The firm operates its business through the following segments: Branch Network, Wholesale Products, Feed and Processing Services, and Corporate Services and Other. The Branch Network segment includes the provision of a range of agricultural products and services through a common distribution channel. The Wholesale Products segment comprises of the AIRR business based in Shepparton, Victoria, supported by a network of eight warehouses to supply independent retail stores throughout Australia. The Feed and Processing Services segment focuses on Killara feedlot, a beef cattle feedlot near Tamworth in New South Wales. The Corporate Services and Other segment provides general investment activities not associated with the other business segments and the administrative corporate office activities. The company was founded by Alexander Lang Elder in 1839 and is headquartered in Adelaide, Australia.</t>
        </is>
      </c>
      <c r="L200" s="25" t="inlineStr">
        <is>
          <t>Agricultural Support Activity Providers</t>
        </is>
      </c>
      <c r="M200" s="25" t="inlineStr">
        <is>
          <t>Agriculture</t>
        </is>
      </c>
      <c r="N200" s="25" t="inlineStr">
        <is>
          <t>Food and Tobacco Production</t>
        </is>
      </c>
      <c r="O200" s="30" t="inlineStr">
        <is>
          <t>Other Agricultural Support Activity Providers</t>
        </is>
      </c>
      <c r="P200" s="28" t="n">
        <v>623.223999999999</v>
      </c>
      <c r="Q200" s="28" t="n">
        <v>187.026003424067</v>
      </c>
      <c r="R200" s="28" t="n">
        <v>45.0799999999999</v>
      </c>
      <c r="S200" s="28" t="n">
        <v>5.97280992817657</v>
      </c>
      <c r="T200" s="28" t="n">
        <v>19.9031070261777</v>
      </c>
      <c r="U200" s="28" t="n">
        <v>1.43966224782757</v>
      </c>
    </row>
    <row r="201" ht="15" customHeight="1">
      <c r="A201" s="25" t="inlineStr">
        <is>
          <t>GOZ-AU</t>
        </is>
      </c>
      <c r="B201" s="25" t="inlineStr">
        <is>
          <t>Growthpoint Properties Australia</t>
        </is>
      </c>
      <c r="C201" s="25" t="inlineStr">
        <is>
          <t>Public</t>
        </is>
      </c>
      <c r="D201" s="25" t="inlineStr">
        <is>
          <t>Australia</t>
        </is>
      </c>
      <c r="E201" s="26" t="n">
        <v>2007</v>
      </c>
      <c r="F201" s="27" t="inlineStr">
        <is>
          <t>-</t>
        </is>
      </c>
      <c r="G201" s="28" t="n">
        <v>331.3</v>
      </c>
      <c r="H201" s="25" t="inlineStr">
        <is>
          <t>Pacific</t>
        </is>
      </c>
      <c r="I201" s="25" t="inlineStr">
        <is>
          <t>Victoria (VIC)</t>
        </is>
      </c>
      <c r="J201" s="28" t="n">
        <v>4325.20010660112</v>
      </c>
      <c r="K201" s="25" t="inlineStr">
        <is>
          <t>Growthpoint Properties Australia operates as a real estate investment company with a mandate to invest in Australian real property in the industrial, office and retail sectors. It's objective is to provide investors with a tradable security producing consistently growing income returns and long-term capital appreciation. It operates through the industrial and Office segments. The company was founded on February 22, 2007 and is headquartered in Melbourne, Australia.</t>
        </is>
      </c>
      <c r="L201" s="25" t="inlineStr">
        <is>
          <t>Equity REITs</t>
        </is>
      </c>
      <c r="M201" s="25" t="inlineStr">
        <is>
          <t>Real Estate Investment Trusts (REITs)</t>
        </is>
      </c>
      <c r="N201" s="25" t="inlineStr">
        <is>
          <t>Real Estate</t>
        </is>
      </c>
      <c r="O201" s="30" t="inlineStr">
        <is>
          <t>Equity REITs</t>
        </is>
      </c>
      <c r="P201" s="28" t="n">
        <v>254.999999999999</v>
      </c>
      <c r="Q201" s="28" t="n">
        <v>204.499988676021</v>
      </c>
      <c r="R201" s="28" t="n">
        <v>-124.599999999999</v>
      </c>
      <c r="S201" s="28" t="n">
        <v>61.7265318442499</v>
      </c>
      <c r="T201" s="28" t="n">
        <v>76.96951403561729</v>
      </c>
      <c r="U201" s="28" t="n">
        <v>-37.6094174464232</v>
      </c>
    </row>
    <row r="202" ht="15" customHeight="1">
      <c r="A202" s="25" t="inlineStr">
        <is>
          <t>MYS-AU</t>
        </is>
      </c>
      <c r="B202" s="25" t="inlineStr">
        <is>
          <t>MyState Ltd.</t>
        </is>
      </c>
      <c r="C202" s="25" t="inlineStr">
        <is>
          <t>Public</t>
        </is>
      </c>
      <c r="D202" s="25" t="inlineStr">
        <is>
          <t>Australia</t>
        </is>
      </c>
      <c r="E202" s="26" t="n">
        <v>2008</v>
      </c>
      <c r="F202" s="27" t="inlineStr">
        <is>
          <t>-</t>
        </is>
      </c>
      <c r="G202" s="28" t="n">
        <v>638.651999999999</v>
      </c>
      <c r="H202" s="25" t="inlineStr">
        <is>
          <t>Pacific</t>
        </is>
      </c>
      <c r="I202" s="25" t="inlineStr">
        <is>
          <t>Tasmania (TAS)</t>
        </is>
      </c>
      <c r="J202" s="28" t="n">
        <v>15277.578376539</v>
      </c>
      <c r="K202" s="25" t="inlineStr">
        <is>
          <t>MyState Ltd. is a holding company, which engages in the provision of banking, trustee, and wealth management services. It operates through the following segments: Banking, Wealth Management, and Corporate. The Banking segment offers lending; encompassing home loans, personal, overdraft, line of credit and commercial products, transactional savings accounts and fixed term deposits, and insurance products. The Wealth Management segment provides funds management, financial planning, and trustee services. The Corporate segment is responsible for the governance of the Group. The company was founded in September 2009 and is headquartered in Hobart, Australia.</t>
        </is>
      </c>
      <c r="L202" s="25" t="inlineStr">
        <is>
          <t>Asia/Pacific Banks</t>
        </is>
      </c>
      <c r="M202" s="25" t="inlineStr">
        <is>
          <t>International Banks</t>
        </is>
      </c>
      <c r="N202" s="25" t="inlineStr">
        <is>
          <t>Banking</t>
        </is>
      </c>
      <c r="O202" s="30" t="inlineStr">
        <is>
          <t>Australia and New Zealand Banks</t>
        </is>
      </c>
      <c r="P202" s="28" t="inlineStr">
        <is>
          <t>-</t>
        </is>
      </c>
      <c r="Q202" s="28" t="inlineStr">
        <is>
          <t>-</t>
        </is>
      </c>
      <c r="R202" s="28" t="n">
        <v>35.558</v>
      </c>
      <c r="S202" s="28" t="inlineStr">
        <is>
          <t>-</t>
        </is>
      </c>
      <c r="T202" s="28" t="inlineStr">
        <is>
          <t>-</t>
        </is>
      </c>
      <c r="U202" s="28" t="n">
        <v>5.56766439312802</v>
      </c>
    </row>
    <row r="203" ht="15" customHeight="1">
      <c r="A203" s="25" t="inlineStr">
        <is>
          <t>MYR-AU</t>
        </is>
      </c>
      <c r="B203" s="25" t="inlineStr">
        <is>
          <t>Myer Holdings Ltd.</t>
        </is>
      </c>
      <c r="C203" s="25" t="inlineStr">
        <is>
          <t>Public</t>
        </is>
      </c>
      <c r="D203" s="25" t="inlineStr">
        <is>
          <t>Australia</t>
        </is>
      </c>
      <c r="E203" s="26" t="n">
        <v>2006</v>
      </c>
      <c r="F203" s="27" t="inlineStr">
        <is>
          <t>-</t>
        </is>
      </c>
      <c r="G203" s="28" t="n">
        <v>3008.84034652437</v>
      </c>
      <c r="H203" s="25" t="inlineStr">
        <is>
          <t>Pacific</t>
        </is>
      </c>
      <c r="I203" s="25" t="inlineStr">
        <is>
          <t>Victoria (VIC)</t>
        </is>
      </c>
      <c r="J203" s="28" t="n">
        <v>3586.59652008191</v>
      </c>
      <c r="K203" s="25" t="inlineStr">
        <is>
          <t>Myer Holdings Ltd. engages in the business of operating department stores. Its core product categories include youth fashion, children's wear, intimate apparel, beauty, fragrance and cosmetics, home ware, electrical goods, toys, fashion accessories, and general merchandise. The company was founded by Sidney Myer in 1900 and is headquartered in Docklands, Australia.</t>
        </is>
      </c>
      <c r="L203" s="25" t="inlineStr">
        <is>
          <t>Department Stores</t>
        </is>
      </c>
      <c r="M203" s="25" t="inlineStr">
        <is>
          <t>General Merchandise Retail</t>
        </is>
      </c>
      <c r="N203" s="25" t="inlineStr">
        <is>
          <t>Food and Staples Retail</t>
        </is>
      </c>
      <c r="O203" s="30" t="inlineStr">
        <is>
          <t>Asia/Pacific Department Stores</t>
        </is>
      </c>
      <c r="P203" s="28" t="n">
        <v>1381.16442403191</v>
      </c>
      <c r="Q203" s="28" t="n">
        <v>116.005411848882</v>
      </c>
      <c r="R203" s="28" t="n">
        <v>-211.209851825023</v>
      </c>
      <c r="S203" s="28" t="n">
        <v>3.85548575796856</v>
      </c>
      <c r="T203" s="28" t="n">
        <v>45.9035463821584</v>
      </c>
      <c r="U203" s="28" t="n">
        <v>-7.01964303519793</v>
      </c>
    </row>
    <row r="204" ht="15" customHeight="1">
      <c r="A204" s="25" t="inlineStr">
        <is>
          <t>LLC-AU</t>
        </is>
      </c>
      <c r="B204" s="25" t="inlineStr">
        <is>
          <t>Lendlease Group</t>
        </is>
      </c>
      <c r="C204" s="25" t="inlineStr">
        <is>
          <t>Public</t>
        </is>
      </c>
      <c r="D204" s="25" t="inlineStr">
        <is>
          <t>Australia</t>
        </is>
      </c>
      <c r="E204" s="26" t="n">
        <v>1958</v>
      </c>
      <c r="F204" s="27" t="inlineStr">
        <is>
          <t>-</t>
        </is>
      </c>
      <c r="G204" s="28" t="n">
        <v>7785.99999999999</v>
      </c>
      <c r="H204" s="25" t="inlineStr">
        <is>
          <t>Pacific</t>
        </is>
      </c>
      <c r="I204" s="25" t="inlineStr">
        <is>
          <t>New South Wales (NSW)</t>
        </is>
      </c>
      <c r="J204" s="28" t="n">
        <v>14562.0003589026</v>
      </c>
      <c r="K204" s="25" t="inlineStr">
        <is>
          <t>Lendlease Group operates as a property and infrastructure development company. It engages in designing, developing, constructing, funding, owning, co-investing or managing property, and infrastructure assets. The firm operates through the following segments: Investments, Development, Construction, and Capital Release Unit. The Investments segment includes an investment management platform and the group's ownership interests in residential, office, retail, industrial, retirement and infrastructure investment assets. The Development segment includes the development of inner-city mixed-use developments, apartments, communities, retirement, retail, commercial assets and social and economic infrastructure. The Construction segment includes the provision of project management, design and construction services, predominantly in the commercial, residential, mixed use, defense, and social infrastructure sectors. The Capital Release Unit segment includes overseas construction operations, overseas development projects, the group’s residual ownership interest in retirement assets and the US Military Housing business, Australian communities projects and the retained engineering and services projects. The company was founded by Gerardus Jozef Dusseldorp in 1957 and is headquartered in Barangaroo, Australia.</t>
        </is>
      </c>
      <c r="L204" s="25" t="inlineStr">
        <is>
          <t>Infrastructure Construction/Contracting Services</t>
        </is>
      </c>
      <c r="M204" s="25" t="inlineStr">
        <is>
          <t>Facilities and Construction Services</t>
        </is>
      </c>
      <c r="N204" s="25" t="inlineStr">
        <is>
          <t>Industrial Services</t>
        </is>
      </c>
      <c r="O204" s="30" t="inlineStr">
        <is>
          <t>Diverse Construction and Engineering Services</t>
        </is>
      </c>
      <c r="P204" s="28" t="n">
        <v>494</v>
      </c>
      <c r="Q204" s="28" t="n">
        <v>66.9999902872494</v>
      </c>
      <c r="R204" s="28" t="n">
        <v>225</v>
      </c>
      <c r="S204" s="28" t="n">
        <v>0.860518880041099</v>
      </c>
      <c r="T204" s="28" t="n">
        <v>6.34472129463139</v>
      </c>
      <c r="U204" s="28" t="n">
        <v>2.88980220909324</v>
      </c>
    </row>
    <row r="205" ht="15" customHeight="1">
      <c r="A205" s="25" t="inlineStr">
        <is>
          <t>SMR-AU</t>
        </is>
      </c>
      <c r="B205" s="25" t="inlineStr">
        <is>
          <t>Stanmore Resources Ltd.</t>
        </is>
      </c>
      <c r="C205" s="25" t="inlineStr">
        <is>
          <t>Public</t>
        </is>
      </c>
      <c r="D205" s="25" t="inlineStr">
        <is>
          <t>Australia</t>
        </is>
      </c>
      <c r="E205" s="26" t="n">
        <v>2008</v>
      </c>
      <c r="F205" s="27" t="inlineStr">
        <is>
          <t>-</t>
        </is>
      </c>
      <c r="G205" s="28" t="n">
        <v>3631.75171390299</v>
      </c>
      <c r="H205" s="25" t="inlineStr">
        <is>
          <t>Pacific</t>
        </is>
      </c>
      <c r="I205" s="25" t="inlineStr">
        <is>
          <t>Queensland (QLD)</t>
        </is>
      </c>
      <c r="J205" s="28" t="n">
        <v>5460.06605048317</v>
      </c>
      <c r="K205" s="25" t="inlineStr">
        <is>
          <t>Stanmore Resources Ltd. is an exploration and development company, which engages in identification and development of export thermal, coking, and coal exploration properties. It operates through the following segments: Isaac Plains Complex and Exploration and Development. The company was founded by Vaughan Wishart on June 27, 2008 and is headquartered in Brisbane, Australia.</t>
        </is>
      </c>
      <c r="L205" s="25" t="inlineStr">
        <is>
          <t>Asia/Pacific International Coal Mining</t>
        </is>
      </c>
      <c r="M205" s="25" t="inlineStr">
        <is>
          <t>Coal and Uranium Mining</t>
        </is>
      </c>
      <c r="N205" s="25" t="inlineStr">
        <is>
          <t>Upstream Energy</t>
        </is>
      </c>
      <c r="O205" s="30" t="inlineStr">
        <is>
          <t>Asia/Pacific International Coal Mining</t>
        </is>
      </c>
      <c r="P205" s="28" t="n">
        <v>2246.36464808602</v>
      </c>
      <c r="Q205" s="28" t="n">
        <v>960.5835466165501</v>
      </c>
      <c r="R205" s="28" t="n">
        <v>290.327886959892</v>
      </c>
      <c r="S205" s="28" t="n">
        <v>26.44959307991</v>
      </c>
      <c r="T205" s="28" t="n">
        <v>61.853475266124</v>
      </c>
      <c r="U205" s="28" t="n">
        <v>7.99415570862032</v>
      </c>
    </row>
    <row r="206" ht="15" customHeight="1">
      <c r="A206" s="25" t="inlineStr">
        <is>
          <t>BGA-AU</t>
        </is>
      </c>
      <c r="B206" s="25" t="inlineStr">
        <is>
          <t>Bega Cheese Ltd.</t>
        </is>
      </c>
      <c r="C206" s="25" t="inlineStr">
        <is>
          <t>Public</t>
        </is>
      </c>
      <c r="D206" s="25" t="inlineStr">
        <is>
          <t>Australia</t>
        </is>
      </c>
      <c r="E206" s="26" t="n">
        <v>1899</v>
      </c>
      <c r="F206" s="27" t="inlineStr">
        <is>
          <t>-</t>
        </is>
      </c>
      <c r="G206" s="28" t="n">
        <v>3538.99999999999</v>
      </c>
      <c r="H206" s="25" t="inlineStr">
        <is>
          <t>Pacific</t>
        </is>
      </c>
      <c r="I206" s="25" t="inlineStr">
        <is>
          <t>New South Wales (NSW)</t>
        </is>
      </c>
      <c r="J206" s="28" t="n">
        <v>2040.70005029615</v>
      </c>
      <c r="K206" s="25" t="inlineStr">
        <is>
          <t>Bega Cheese Ltd. engages in receiving, processing, manufacturing, and distributing dairy and other food-related products. It operates through two segments: Branded and Bulk. The Branded segment manufactures value added consumer products for owned and externally owned brands. The Bulk segment focuses on the manufacture of bulk dairy ingredients, nutritional, and bio nutrient products. The company was founded on July 15, 1899 and is headquartered North Bega, Australia.</t>
        </is>
      </c>
      <c r="L206" s="25" t="inlineStr">
        <is>
          <t>Food Production</t>
        </is>
      </c>
      <c r="M206" s="25" t="inlineStr">
        <is>
          <t>Food and Beverage Production</t>
        </is>
      </c>
      <c r="N206" s="25" t="inlineStr">
        <is>
          <t>Food and Tobacco Production</t>
        </is>
      </c>
      <c r="O206" s="30" t="inlineStr">
        <is>
          <t>Dairy and Dairy Alternative Production</t>
        </is>
      </c>
      <c r="P206" s="28" t="n">
        <v>730.2</v>
      </c>
      <c r="Q206" s="28" t="n">
        <v>149.000003981181</v>
      </c>
      <c r="R206" s="28" t="n">
        <v>-8.5</v>
      </c>
      <c r="S206" s="28" t="n">
        <v>4.21022887821418</v>
      </c>
      <c r="T206" s="28" t="n">
        <v>20.6329471602147</v>
      </c>
      <c r="U206" s="28" t="n">
        <v>-0.240180842045776</v>
      </c>
    </row>
    <row r="207" ht="15" customHeight="1">
      <c r="A207" s="25" t="inlineStr">
        <is>
          <t>RDX-AU</t>
        </is>
      </c>
      <c r="B207" s="25" t="inlineStr">
        <is>
          <t>Redox Ltd.</t>
        </is>
      </c>
      <c r="C207" s="25" t="inlineStr">
        <is>
          <t>Public</t>
        </is>
      </c>
      <c r="D207" s="25" t="inlineStr">
        <is>
          <t>Australia</t>
        </is>
      </c>
      <c r="E207" s="26" t="n">
        <v>1970</v>
      </c>
      <c r="F207" s="27" t="inlineStr">
        <is>
          <t>-</t>
        </is>
      </c>
      <c r="G207" s="28" t="n">
        <v>1243.79699999999</v>
      </c>
      <c r="H207" s="25" t="inlineStr">
        <is>
          <t>Pacific</t>
        </is>
      </c>
      <c r="I207" s="25" t="inlineStr">
        <is>
          <t>New South Wales (NSW)</t>
        </is>
      </c>
      <c r="J207" s="28" t="n">
        <v>732.214018046526</v>
      </c>
      <c r="K207" s="25" t="inlineStr">
        <is>
          <t>Redox Ltd. engages in the marketing and distribution of organic and inorganic ingredient and raw materials. The company's product line includes agriculture, chemical manufacture, detergents, food and beverage, plastic and foam, mining, oil and gas, metals, rubber, textile, building and construction, lubricants, human health, personal care, water treatment, and surface coating chemicals. Redox was founded by Coneliano Roland in 1965 and headquartered in Minto, Australia.</t>
        </is>
      </c>
      <c r="L207" s="25" t="inlineStr">
        <is>
          <t>Materials Distributors</t>
        </is>
      </c>
      <c r="M207" s="25" t="inlineStr">
        <is>
          <t>Diversified Industrials Distribution</t>
        </is>
      </c>
      <c r="N207" s="25" t="inlineStr">
        <is>
          <t>Industrial Services</t>
        </is>
      </c>
      <c r="O207" s="30" t="inlineStr">
        <is>
          <t>Chemical and Allied Products Distributors</t>
        </is>
      </c>
      <c r="P207" s="28" t="n">
        <v>268.631</v>
      </c>
      <c r="Q207" s="28" t="n">
        <v>122.591014479834</v>
      </c>
      <c r="R207" s="28" t="n">
        <v>77.1009999999999</v>
      </c>
      <c r="S207" s="28" t="n">
        <v>9.85619035903769</v>
      </c>
      <c r="T207" s="28" t="n">
        <v>21.5976562091724</v>
      </c>
      <c r="U207" s="28" t="n">
        <v>6.19884112921964</v>
      </c>
    </row>
    <row r="208" ht="15" customHeight="1">
      <c r="A208" s="25" t="inlineStr">
        <is>
          <t>SXL-AU</t>
        </is>
      </c>
      <c r="B208" s="25" t="inlineStr">
        <is>
          <t>Southern Cross Media Group Ltd.</t>
        </is>
      </c>
      <c r="C208" s="25" t="inlineStr">
        <is>
          <t>Public</t>
        </is>
      </c>
      <c r="D208" s="25" t="inlineStr">
        <is>
          <t>Australia</t>
        </is>
      </c>
      <c r="E208" s="26" t="n">
        <v>2005</v>
      </c>
      <c r="F208" s="27" t="inlineStr">
        <is>
          <t>-</t>
        </is>
      </c>
      <c r="G208" s="28" t="n">
        <v>421.699</v>
      </c>
      <c r="H208" s="25" t="inlineStr">
        <is>
          <t>Pacific</t>
        </is>
      </c>
      <c r="I208" s="25" t="inlineStr">
        <is>
          <t>Victoria (VIC)</t>
        </is>
      </c>
      <c r="J208" s="28" t="n">
        <v>686.06201690904</v>
      </c>
      <c r="K208" s="25" t="inlineStr">
        <is>
          <t>Southern Cross Media Group Ltd. engages in the creation of audio content for distribution on networks. It operates through the following segments: Broadcast Radio, Digital Audio, and Television. The Broadcast Radio segment includes metro and regional radio. The company was founded on September 6, 2005 and is headquartered in South Melbourne, Australia.</t>
        </is>
      </c>
      <c r="L208" s="25" t="inlineStr">
        <is>
          <t>Broadcast Media Services</t>
        </is>
      </c>
      <c r="M208" s="25" t="inlineStr">
        <is>
          <t>Media and Publishing Services</t>
        </is>
      </c>
      <c r="N208" s="25" t="inlineStr">
        <is>
          <t>Media and Publishing Services</t>
        </is>
      </c>
      <c r="O208" s="30" t="inlineStr">
        <is>
          <t>Radio and Television Broadcasting</t>
        </is>
      </c>
      <c r="P208" s="28" t="n">
        <v>111.472999999999</v>
      </c>
      <c r="Q208" s="28" t="n">
        <v>57.2290094300906</v>
      </c>
      <c r="R208" s="28" t="n">
        <v>6.40599999999999</v>
      </c>
      <c r="S208" s="28" t="n">
        <v>13.5710542353669</v>
      </c>
      <c r="T208" s="28" t="n">
        <v>26.434257610286</v>
      </c>
      <c r="U208" s="28" t="n">
        <v>1.51909300235476</v>
      </c>
    </row>
    <row r="209" ht="15" customHeight="1">
      <c r="A209" s="25" t="inlineStr">
        <is>
          <t>SGLLV-AU</t>
        </is>
      </c>
      <c r="B209" s="25" t="inlineStr">
        <is>
          <t>Ricegrowers Ltd.</t>
        </is>
      </c>
      <c r="C209" s="25" t="inlineStr">
        <is>
          <t>Public</t>
        </is>
      </c>
      <c r="D209" s="25" t="inlineStr">
        <is>
          <t>Australia</t>
        </is>
      </c>
      <c r="E209" s="26" t="n">
        <v>2005</v>
      </c>
      <c r="F209" s="27" t="n">
        <v>2139</v>
      </c>
      <c r="G209" s="28" t="n">
        <v>1844.61299999999</v>
      </c>
      <c r="H209" s="25" t="inlineStr">
        <is>
          <t>Pacific</t>
        </is>
      </c>
      <c r="I209" s="25" t="inlineStr">
        <is>
          <t>New South Wales (NSW)</t>
        </is>
      </c>
      <c r="J209" s="28" t="n">
        <v>1502.92396792095</v>
      </c>
      <c r="K209" s="25" t="inlineStr">
        <is>
          <t>Ricegrowers Ltd. engages in the receipt and storage of paddy rice, the milling, processing, manufacturing, procurement, distribution, and marketing of rice and related products, animal feed and nutrition products and other grocery, gourmet, and entertainment food products and the research and development into the growing of rice. It operates through the following segments: Rice Pool, International Rice, Rice Food, Riviana Foods, CopRice, and Corporate. The Rice Pool segment is involved in the milling, marketing, and distribution of Riverina rice, directly to customers across many channels. The International Rice segment focuses on the processing, manufacturing, marketing, and distribution of bulk or branded rice products through intermediaries to consumers, food service and processing customers in global markets. The Rice Food segment includes the manufacturing, marketing, and distribution of value-added rice-based products, including snacks, ingredients, and preprepared meals, both in domestic and global markets. The Riviana Foods segment refers to the distribution of both imported and locally manufactured branded specialty gourmet and special occasions food products to retail and food service customers in Australia and export markets. The CopRice segment consists of the manufacture and distribution of bulk stockfeed to primary producers and branded packaged stockfeed and companion animal feed products through retail and wholesale channels. The Corporate segment captures the income and cost of holding and financing the assets. The company was founded in 1950 and is headquartered in Leeton, Australia.</t>
        </is>
      </c>
      <c r="L209" s="25" t="inlineStr">
        <is>
          <t>Food Production</t>
        </is>
      </c>
      <c r="M209" s="25" t="inlineStr">
        <is>
          <t>Food and Beverage Production</t>
        </is>
      </c>
      <c r="N209" s="25" t="inlineStr">
        <is>
          <t>Food and Tobacco Production</t>
        </is>
      </c>
      <c r="O209" s="30" t="inlineStr">
        <is>
          <t>Other Food Production</t>
        </is>
      </c>
      <c r="P209" s="28" t="n">
        <v>238.32</v>
      </c>
      <c r="Q209" s="28" t="n">
        <v>155.180009087054</v>
      </c>
      <c r="R209" s="28" t="n">
        <v>68.411</v>
      </c>
      <c r="S209" s="28" t="n">
        <v>8.41260470353402</v>
      </c>
      <c r="T209" s="28" t="n">
        <v>12.9197831740316</v>
      </c>
      <c r="U209" s="28" t="n">
        <v>3.7086911997259</v>
      </c>
    </row>
    <row r="210" ht="15" customHeight="1">
      <c r="A210" s="25" t="inlineStr">
        <is>
          <t>PLS-AU</t>
        </is>
      </c>
      <c r="B210" s="25" t="inlineStr">
        <is>
          <t>Pilbara Minerals Ltd.</t>
        </is>
      </c>
      <c r="C210" s="25" t="inlineStr">
        <is>
          <t>Public</t>
        </is>
      </c>
      <c r="D210" s="25" t="inlineStr">
        <is>
          <t>Australia</t>
        </is>
      </c>
      <c r="E210" s="26" t="n">
        <v>2005</v>
      </c>
      <c r="F210" s="27" t="n">
        <v>950</v>
      </c>
      <c r="G210" s="28" t="n">
        <v>768.85</v>
      </c>
      <c r="H210" s="25" t="inlineStr">
        <is>
          <t>Pacific</t>
        </is>
      </c>
      <c r="I210" s="25" t="inlineStr">
        <is>
          <t>Western Australia (WA)</t>
        </is>
      </c>
      <c r="J210" s="28" t="n">
        <v>4667.39511503504</v>
      </c>
      <c r="K210" s="25" t="inlineStr">
        <is>
          <t>Pilbara Minerals Ltd. engages in the provision of exploration and evaluation of mineral properties. It operates through the China and Other Foreign Countries geographical segments. It focuses on lithium and tantalum properties of Pilgangoora Lithium-Tantalum Project located in the Pilbara region. The company was founded on January 10, 2005 and is headquartered in West Perth, Australia.</t>
        </is>
      </c>
      <c r="L210" s="25" t="inlineStr">
        <is>
          <t>Base Metal Mining</t>
        </is>
      </c>
      <c r="M210" s="25" t="inlineStr">
        <is>
          <t>Metal Ore Mining</t>
        </is>
      </c>
      <c r="N210" s="25" t="inlineStr">
        <is>
          <t>Mining and Mineral Products</t>
        </is>
      </c>
      <c r="O210" s="30" t="inlineStr">
        <is>
          <t>Lithium Ore Mining</t>
        </is>
      </c>
      <c r="P210" s="28" t="n">
        <v>-71.307</v>
      </c>
      <c r="Q210" s="28" t="n">
        <v>77.51000310524481</v>
      </c>
      <c r="R210" s="28" t="n">
        <v>-195.766</v>
      </c>
      <c r="S210" s="28" t="n">
        <v>10.0812902386681</v>
      </c>
      <c r="T210" s="28" t="n">
        <v>-9.27450087793458</v>
      </c>
      <c r="U210" s="28" t="n">
        <v>-25.4621837809716</v>
      </c>
    </row>
    <row r="211" ht="15" customHeight="1">
      <c r="A211" s="25" t="inlineStr">
        <is>
          <t>ALX-AU</t>
        </is>
      </c>
      <c r="B211" s="25" t="inlineStr">
        <is>
          <t>Atlas Arteria Ltd.</t>
        </is>
      </c>
      <c r="C211" s="25" t="inlineStr">
        <is>
          <t>Public</t>
        </is>
      </c>
      <c r="D211" s="25" t="inlineStr">
        <is>
          <t>Australia</t>
        </is>
      </c>
      <c r="E211" s="26" t="n">
        <v>2009</v>
      </c>
      <c r="F211" s="27" t="inlineStr">
        <is>
          <t>-</t>
        </is>
      </c>
      <c r="G211" s="28" t="n">
        <v>145.899999999999</v>
      </c>
      <c r="H211" s="25" t="inlineStr">
        <is>
          <t>Pacific</t>
        </is>
      </c>
      <c r="I211" s="25" t="inlineStr">
        <is>
          <t>Victoria (VIC)</t>
        </is>
      </c>
      <c r="J211" s="28" t="n">
        <v>8276.999743261889</v>
      </c>
      <c r="K211" s="25" t="inlineStr">
        <is>
          <t>Atlas Arteria Ltd. owns, operates, and develops toll roads globally. The firm's projects include toll roads, bridges, tunnels, and investment in entities in the same industry sector. It operates through the following segments: APRR, ADELAC, Warnow Tunnel, Chicago Skyway, and Dulles Greenway. The company was founded on December 16, 2009 and is headquartered in Melbourne, Australia.</t>
        </is>
      </c>
      <c r="L211" s="25" t="inlineStr">
        <is>
          <t>Road and Rail Transportation Operators</t>
        </is>
      </c>
      <c r="M211" s="25" t="inlineStr">
        <is>
          <t>Cargo Transportation and Infrastructure Services</t>
        </is>
      </c>
      <c r="N211" s="25" t="inlineStr">
        <is>
          <t>Industrial Services</t>
        </is>
      </c>
      <c r="O211" s="30" t="inlineStr">
        <is>
          <t>Road Transportation</t>
        </is>
      </c>
      <c r="P211" s="28" t="n">
        <v>22.2999999999999</v>
      </c>
      <c r="Q211" s="28" t="n">
        <v>63.2999996845535</v>
      </c>
      <c r="R211" s="28" t="n">
        <v>275.299999999999</v>
      </c>
      <c r="S211" s="28" t="n">
        <v>43.385880740233</v>
      </c>
      <c r="T211" s="28" t="n">
        <v>15.284441398218</v>
      </c>
      <c r="U211" s="28" t="n">
        <v>188.690884167238</v>
      </c>
    </row>
    <row r="212" ht="15" customHeight="1">
      <c r="A212" s="25" t="inlineStr">
        <is>
          <t>SGH-AU</t>
        </is>
      </c>
      <c r="B212" s="25" t="inlineStr">
        <is>
          <t>SGH Ltd.</t>
        </is>
      </c>
      <c r="C212" s="25" t="inlineStr">
        <is>
          <t>Public</t>
        </is>
      </c>
      <c r="D212" s="25" t="inlineStr">
        <is>
          <t>Australia</t>
        </is>
      </c>
      <c r="E212" s="26" t="n">
        <v>2010</v>
      </c>
      <c r="F212" s="27" t="n">
        <v>14000</v>
      </c>
      <c r="G212" s="28" t="n">
        <v>10743.4999999999</v>
      </c>
      <c r="H212" s="25" t="inlineStr">
        <is>
          <t>Pacific</t>
        </is>
      </c>
      <c r="I212" s="25" t="inlineStr">
        <is>
          <t>New South Wales (NSW)</t>
        </is>
      </c>
      <c r="J212" s="28" t="n">
        <v>12930.0003186794</v>
      </c>
      <c r="K212" s="25" t="inlineStr">
        <is>
          <t>SGH Ltd. is an investment company, which focuses on industrial services, media, and investments. It operates through the following business segments: WesTrac, Coates, Boral, Energy, Media Investments, and Other Investments. The WesTrac segment provides heavy equipment sales and support to customers. The Coates segment offers a range of general and specialist equipment to a variety of markets including engineering, building construction and maintenance, mining and resources, manufacturing, government, and events. The Boral segment is a construction materials group. The Media Investments segment relates to investments in listed and unlisted media organizations. The Other Investments segment covers other investments and incorporates listed investments and property. The company was founded in 1956 and is headquartered in Sydney, Australia.</t>
        </is>
      </c>
      <c r="L212" s="25" t="inlineStr">
        <is>
          <t>Equipment and Supplies Distributors</t>
        </is>
      </c>
      <c r="M212" s="25" t="inlineStr">
        <is>
          <t>Diversified Industrials Distribution</t>
        </is>
      </c>
      <c r="N212" s="25" t="inlineStr">
        <is>
          <t>Industrial Services</t>
        </is>
      </c>
      <c r="O212" s="30" t="inlineStr">
        <is>
          <t>Industrial Machinery and Supplies Distributors</t>
        </is>
      </c>
      <c r="P212" s="28" t="n">
        <v>2169.19999999999</v>
      </c>
      <c r="Q212" s="28" t="n">
        <v>1857.09999933913</v>
      </c>
      <c r="R212" s="28" t="n">
        <v>486.1</v>
      </c>
      <c r="S212" s="28" t="n">
        <v>17.2858007167124</v>
      </c>
      <c r="T212" s="28" t="n">
        <v>20.190813049751</v>
      </c>
      <c r="U212" s="28" t="n">
        <v>4.52459626751059</v>
      </c>
    </row>
    <row r="213" ht="15" customHeight="1">
      <c r="A213" s="25" t="inlineStr">
        <is>
          <t>APX-AU</t>
        </is>
      </c>
      <c r="B213" s="25" t="inlineStr">
        <is>
          <t>Appen Ltd.</t>
        </is>
      </c>
      <c r="C213" s="25" t="inlineStr">
        <is>
          <t>Public</t>
        </is>
      </c>
      <c r="D213" s="25" t="inlineStr">
        <is>
          <t>Australia</t>
        </is>
      </c>
      <c r="E213" s="26" t="n">
        <v>1996</v>
      </c>
      <c r="F213" s="27" t="n">
        <v>1171</v>
      </c>
      <c r="G213" s="28" t="n">
        <v>355.193049589547</v>
      </c>
      <c r="H213" s="25" t="inlineStr">
        <is>
          <t>Pacific</t>
        </is>
      </c>
      <c r="I213" s="25" t="inlineStr">
        <is>
          <t>New South Wales (NSW)</t>
        </is>
      </c>
      <c r="J213" s="28" t="n">
        <v>275.524500863152</v>
      </c>
      <c r="K213" s="25" t="inlineStr">
        <is>
          <t>Appen Ltd. engages in the development of human-annotated datasets for machine learning and artificial intelligence. It operates through the Global Services and New Markets segments. The Global Services segment includes the services provided to the five major U.S. technology customers using data annotation platforms and tools. The New Markets segment represents product-led businesses using collection, annotation, and evaluation products and tools, and Enterprise, Government, China, and Quadrant businesses. The company was founded in 1996 and is headquartered in Chatswood, Australia.</t>
        </is>
      </c>
      <c r="L213" s="25" t="inlineStr">
        <is>
          <t>Information Technology Consulting</t>
        </is>
      </c>
      <c r="M213" s="25" t="inlineStr">
        <is>
          <t>Technology Consulting Services</t>
        </is>
      </c>
      <c r="N213" s="25" t="inlineStr">
        <is>
          <t>Software and Consulting</t>
        </is>
      </c>
      <c r="O213" s="30" t="inlineStr">
        <is>
          <t>Information Technology Consulting</t>
        </is>
      </c>
      <c r="P213" s="28" t="n">
        <v>11.3447706429289</v>
      </c>
      <c r="Q213" s="28" t="n">
        <v>3.92662781839783</v>
      </c>
      <c r="R213" s="28" t="n">
        <v>-30.3350949878877</v>
      </c>
      <c r="S213" s="28" t="n">
        <v>1.10549178947547</v>
      </c>
      <c r="T213" s="28" t="n">
        <v>3.19397315235719</v>
      </c>
      <c r="U213" s="28" t="n">
        <v>-8.540452867234359</v>
      </c>
    </row>
    <row r="214" ht="15" customHeight="1">
      <c r="A214" s="25" t="inlineStr">
        <is>
          <t>AZJ-AU</t>
        </is>
      </c>
      <c r="B214" s="25" t="inlineStr">
        <is>
          <t>Aurizon Holdings Ltd.</t>
        </is>
      </c>
      <c r="C214" s="25" t="inlineStr">
        <is>
          <t>Public</t>
        </is>
      </c>
      <c r="D214" s="25" t="inlineStr">
        <is>
          <t>Australia</t>
        </is>
      </c>
      <c r="E214" s="26" t="n">
        <v>2010</v>
      </c>
      <c r="F214" s="27" t="n">
        <v>5988</v>
      </c>
      <c r="G214" s="28" t="n">
        <v>3869</v>
      </c>
      <c r="H214" s="25" t="inlineStr">
        <is>
          <t>Pacific</t>
        </is>
      </c>
      <c r="I214" s="25" t="inlineStr">
        <is>
          <t>Queensland (QLD)</t>
        </is>
      </c>
      <c r="J214" s="28" t="n">
        <v>11913.0002936139</v>
      </c>
      <c r="K214" s="25" t="inlineStr">
        <is>
          <t>Aurizon Holdings Ltd. is a rail freight operator, which engages in provision of customers with integrated freight and logistics solutions across an extensive national rail and road network, traversing Australia. It operates through the following segments: Network, Coal, Bulk, and Other. The Network segment manages the provision of access to, and operation of, the CQCN, provision of maintenance and renewal of Network assets. The Coal segment provides transport of coal from mines in Queensland and New South Wales to end customers and ports. The Bulk segment provides integrated supply chain services, including rail and road transportation, port services and material handling for a range of mining, metal, industrial and agricultural customers. The Other segment includes provision of services to internal and external customers. It moves bulk commodities such as iron ore, coal, cement, bauxite, alumina, base metals, grain, livestock and fertilizers. The company was founded on September 14, 2010 and is headquartered in Fortitude Valley, Australia.</t>
        </is>
      </c>
      <c r="L214" s="25" t="inlineStr">
        <is>
          <t>Road and Rail Transportation Operators</t>
        </is>
      </c>
      <c r="M214" s="25" t="inlineStr">
        <is>
          <t>Cargo Transportation and Infrastructure Services</t>
        </is>
      </c>
      <c r="N214" s="25" t="inlineStr">
        <is>
          <t>Industrial Services</t>
        </is>
      </c>
      <c r="O214" s="30" t="inlineStr">
        <is>
          <t>Rail Transportation</t>
        </is>
      </c>
      <c r="P214" s="28" t="n">
        <v>851.999999999999</v>
      </c>
      <c r="Q214" s="28" t="n">
        <v>1492.99998890594</v>
      </c>
      <c r="R214" s="28" t="n">
        <v>303</v>
      </c>
      <c r="S214" s="28" t="n">
        <v>38.5887826311708</v>
      </c>
      <c r="T214" s="28" t="n">
        <v>22.0211941070044</v>
      </c>
      <c r="U214" s="28" t="n">
        <v>7.83148100284311</v>
      </c>
    </row>
    <row r="215" ht="15" customHeight="1">
      <c r="A215" s="25" t="inlineStr">
        <is>
          <t>ABB-AU</t>
        </is>
      </c>
      <c r="B215" s="25" t="inlineStr">
        <is>
          <t>Aussie Broadband Ltd.</t>
        </is>
      </c>
      <c r="C215" s="25" t="inlineStr">
        <is>
          <t>Public</t>
        </is>
      </c>
      <c r="D215" s="25" t="inlineStr">
        <is>
          <t>Australia</t>
        </is>
      </c>
      <c r="E215" s="26" t="n">
        <v>2008</v>
      </c>
      <c r="F215" s="27" t="n">
        <v>1737</v>
      </c>
      <c r="G215" s="28" t="n">
        <v>1187.13799999999</v>
      </c>
      <c r="H215" s="25" t="inlineStr">
        <is>
          <t>Pacific</t>
        </is>
      </c>
      <c r="I215" s="25" t="inlineStr">
        <is>
          <t>Victoria (VIC)</t>
        </is>
      </c>
      <c r="J215" s="28" t="n">
        <v>1082.18302667204</v>
      </c>
      <c r="K215" s="25" t="inlineStr">
        <is>
          <t>Aussie Broadband Ltd. engages in the provision of telecommunications services. It operates through the following segments: Residential, Business, Wholesale, Enterprise and Government, and Symbio. The Residential segment provides telecommunications services to residential users. The Wholesale segment offers telecommunications services to business users. The Enterprise and Government segment is involved with the telecommunications services to large enterprises including those in the public sector. The Symbio segment newly acquired Symbio Group, a Software-as a-service company, that enables innovative communications technologies through its proprietary software platform. The company was founded by Phillip Matthew Britt on July 7, 2008, and is headquartered in Morwell, Australia.</t>
        </is>
      </c>
      <c r="L215" s="25" t="inlineStr">
        <is>
          <t>Pan-Asia/Pacific Mixed Telecommunications Services</t>
        </is>
      </c>
      <c r="M215" s="25" t="inlineStr">
        <is>
          <t>General Telecommunications Services</t>
        </is>
      </c>
      <c r="N215" s="25" t="inlineStr">
        <is>
          <t>Telecommunications</t>
        </is>
      </c>
      <c r="O215" s="30" t="inlineStr">
        <is>
          <t>Australia/New Zealand Mixed Telecom Services</t>
        </is>
      </c>
      <c r="P215" s="28" t="n">
        <v>160.115999999999</v>
      </c>
      <c r="Q215" s="28" t="n">
        <v>148.322998082496</v>
      </c>
      <c r="R215" s="28" t="n">
        <v>32.835</v>
      </c>
      <c r="S215" s="28" t="n">
        <v>12.4941666427997</v>
      </c>
      <c r="T215" s="28" t="n">
        <v>13.4875642090473</v>
      </c>
      <c r="U215" s="28" t="n">
        <v>2.76589579307545</v>
      </c>
    </row>
    <row r="216" ht="15" customHeight="1">
      <c r="A216" s="25" t="inlineStr">
        <is>
          <t>CVW-AU</t>
        </is>
      </c>
      <c r="B216" s="25" t="inlineStr">
        <is>
          <t>Clearview Wealth Ltd.</t>
        </is>
      </c>
      <c r="C216" s="25" t="inlineStr">
        <is>
          <t>Public</t>
        </is>
      </c>
      <c r="D216" s="25" t="inlineStr">
        <is>
          <t>Australia</t>
        </is>
      </c>
      <c r="E216" s="26" t="n">
        <v>2003</v>
      </c>
      <c r="F216" s="27" t="inlineStr">
        <is>
          <t>-</t>
        </is>
      </c>
      <c r="G216" s="28" t="n">
        <v>407.216</v>
      </c>
      <c r="H216" s="25" t="inlineStr">
        <is>
          <t>Pacific</t>
        </is>
      </c>
      <c r="I216" s="25" t="inlineStr">
        <is>
          <t>New South Wales (NSW)</t>
        </is>
      </c>
      <c r="J216" s="28" t="n">
        <v>1067.07202629961</v>
      </c>
      <c r="K216" s="25" t="inlineStr">
        <is>
          <t>ClearView Wealth Ltd. is a non-operating holding company, which provides wealth management, life insurance, and integrated financial services. It operates through the Life Insurance and Wealth Management segments. The Life Insurance segment refers to ClearView Life Assurance Limited manufactures ClearView life insurance products under a retail life insurance Australian Financial Services license. The Wealth Management segment consists of ClearView Financial Management Limited, ClearView Life Nominees Pty Limited, and CLAL manufacture investment and retirement solutions under AFS licenses and a registrable superannuation entity trustee license. The company was founded by Simon Swanson in 1976 and is headquartered in Sydney, Australia.</t>
        </is>
      </c>
      <c r="L216" s="25" t="inlineStr">
        <is>
          <t>Life and Health Insurance</t>
        </is>
      </c>
      <c r="M216" s="25" t="inlineStr">
        <is>
          <t>Insurance</t>
        </is>
      </c>
      <c r="N216" s="25" t="inlineStr">
        <is>
          <t>Insurance</t>
        </is>
      </c>
      <c r="O216" s="30" t="inlineStr">
        <is>
          <t>Life and Health Insurance</t>
        </is>
      </c>
      <c r="P216" s="28" t="n">
        <v>47.144</v>
      </c>
      <c r="Q216" s="28" t="n">
        <v>40.7969977227109</v>
      </c>
      <c r="R216" s="28" t="n">
        <v>15.8099999999999</v>
      </c>
      <c r="S216" s="28" t="n">
        <v>10.0185159718675</v>
      </c>
      <c r="T216" s="28" t="n">
        <v>11.5771482456485</v>
      </c>
      <c r="U216" s="28" t="n">
        <v>3.88246041412911</v>
      </c>
    </row>
    <row r="217" ht="15" customHeight="1">
      <c r="A217" s="25" t="inlineStr">
        <is>
          <t>EGR-AU</t>
        </is>
      </c>
      <c r="B217" s="25" t="inlineStr">
        <is>
          <t>EcoGraf Ltd.</t>
        </is>
      </c>
      <c r="C217" s="25" t="inlineStr">
        <is>
          <t>Public</t>
        </is>
      </c>
      <c r="D217" s="25" t="inlineStr">
        <is>
          <t>Australia</t>
        </is>
      </c>
      <c r="E217" s="26" t="n">
        <v>2005</v>
      </c>
      <c r="F217" s="27" t="n">
        <v>4800</v>
      </c>
      <c r="G217" s="28" t="n">
        <v>0</v>
      </c>
      <c r="H217" s="25" t="inlineStr">
        <is>
          <t>Pacific</t>
        </is>
      </c>
      <c r="I217" s="25" t="inlineStr">
        <is>
          <t>Western Australia (WA)</t>
        </is>
      </c>
      <c r="J217" s="28" t="n">
        <v>49.9360012307485</v>
      </c>
      <c r="K217" s="25" t="inlineStr">
        <is>
          <t>EcoGraf Ltd. engages in the business of building a vertically integrated battery anode materials business to produce high purity graphite products for the lithium-ion battery and advanced manufacturing markets. It operates under the Australia and Tanzania geographical segments. The company was founded on December 22, 2005 and is headquartered in West Perth, Australia.</t>
        </is>
      </c>
      <c r="L217" s="25" t="inlineStr">
        <is>
          <t>Nonmetallic Mineral Mining</t>
        </is>
      </c>
      <c r="M217" s="25" t="inlineStr">
        <is>
          <t>Other Mining</t>
        </is>
      </c>
      <c r="N217" s="25" t="inlineStr">
        <is>
          <t>Mining and Mineral Products</t>
        </is>
      </c>
      <c r="O217" s="30" t="inlineStr">
        <is>
          <t>Other Nonmetallic Minerals Mining</t>
        </is>
      </c>
      <c r="P217" s="28" t="n">
        <v>-0.124</v>
      </c>
      <c r="Q217" s="28" t="n">
        <v>-8.60798833160122</v>
      </c>
      <c r="R217" s="28" t="n">
        <v>-5.011</v>
      </c>
      <c r="S217" s="28" t="inlineStr">
        <is>
          <t>-</t>
        </is>
      </c>
      <c r="T217" s="28" t="inlineStr">
        <is>
          <t>-</t>
        </is>
      </c>
      <c r="U217" s="28" t="inlineStr">
        <is>
          <t>-</t>
        </is>
      </c>
    </row>
    <row r="218" ht="15" customHeight="1">
      <c r="A218" s="25" t="inlineStr">
        <is>
          <t>TWE-AU</t>
        </is>
      </c>
      <c r="B218" s="25" t="inlineStr">
        <is>
          <t>Treasury Wine Estates Ltd.</t>
        </is>
      </c>
      <c r="C218" s="25" t="inlineStr">
        <is>
          <t>Public</t>
        </is>
      </c>
      <c r="D218" s="25" t="inlineStr">
        <is>
          <t>Australia</t>
        </is>
      </c>
      <c r="E218" s="26" t="n">
        <v>1957</v>
      </c>
      <c r="F218" s="27" t="n">
        <v>2500</v>
      </c>
      <c r="G218" s="28" t="n">
        <v>2990.09999999999</v>
      </c>
      <c r="H218" s="25" t="inlineStr">
        <is>
          <t>Pacific</t>
        </is>
      </c>
      <c r="I218" s="25" t="inlineStr">
        <is>
          <t>Victoria (VIC)</t>
        </is>
      </c>
      <c r="J218" s="28" t="n">
        <v>8524.40021009679</v>
      </c>
      <c r="K218" s="25" t="inlineStr">
        <is>
          <t>Treasury Wine Estates Ltd. engages in the production and marketing of wine. It operates through the following segments: Treasury Premium Brands, Penfolds, and Treasury Americas. The Treasury Premium Brands segment is responsible for the manufacture, sale and marketing of wine within Australia, Asia, Europe, Canada, Middle East and Africa. The Penfolds segment refers to the manufacture, sale and marketing of Penfolds wine globally. The Treasury Americas segment deals with the manufacture, sale and marketing of wine within North American and Latin Americas regions. The company was founded on March 20, 1957, and is headquartered in Melbourne, Australia.</t>
        </is>
      </c>
      <c r="L218" s="25" t="inlineStr">
        <is>
          <t>Beverages Production</t>
        </is>
      </c>
      <c r="M218" s="25" t="inlineStr">
        <is>
          <t>Food and Beverage Production</t>
        </is>
      </c>
      <c r="N218" s="25" t="inlineStr">
        <is>
          <t>Food and Tobacco Production</t>
        </is>
      </c>
      <c r="O218" s="30" t="inlineStr">
        <is>
          <t>Alcoholic Beverage Production</t>
        </is>
      </c>
      <c r="P218" s="28" t="n">
        <v>1418.59999999999</v>
      </c>
      <c r="Q218" s="28" t="n">
        <v>962.399993506442</v>
      </c>
      <c r="R218" s="28" t="n">
        <v>436.899999999999</v>
      </c>
      <c r="S218" s="28" t="n">
        <v>32.186214507876</v>
      </c>
      <c r="T218" s="28" t="n">
        <v>47.443229323434</v>
      </c>
      <c r="U218" s="28" t="n">
        <v>14.6115514531287</v>
      </c>
    </row>
    <row r="219" ht="15" customHeight="1">
      <c r="A219" s="25" t="inlineStr">
        <is>
          <t>YAL-AU</t>
        </is>
      </c>
      <c r="B219" s="25" t="inlineStr">
        <is>
          <t>Yancoal Australia Ltd.</t>
        </is>
      </c>
      <c r="C219" s="25" t="inlineStr">
        <is>
          <t>Public</t>
        </is>
      </c>
      <c r="D219" s="25" t="inlineStr">
        <is>
          <t>Australia</t>
        </is>
      </c>
      <c r="E219" s="26" t="n">
        <v>2004</v>
      </c>
      <c r="F219" s="27" t="n">
        <v>3689</v>
      </c>
      <c r="G219" s="28" t="n">
        <v>6866</v>
      </c>
      <c r="H219" s="25" t="inlineStr">
        <is>
          <t>Pacific</t>
        </is>
      </c>
      <c r="I219" s="25" t="inlineStr">
        <is>
          <t>New South Wales (NSW)</t>
        </is>
      </c>
      <c r="J219" s="28" t="n">
        <v>12744.9996046723</v>
      </c>
      <c r="K219" s="25" t="inlineStr">
        <is>
          <t>Yancoal Australia Ltd. engages in the identification, development, and operation of coal related resources. The company was founded on November 18, 2004, and is headquartered in Sydney, Australia.</t>
        </is>
      </c>
      <c r="L219" s="25" t="inlineStr">
        <is>
          <t>Asia/Pacific International Coal Mining</t>
        </is>
      </c>
      <c r="M219" s="25" t="inlineStr">
        <is>
          <t>Coal and Uranium Mining</t>
        </is>
      </c>
      <c r="N219" s="25" t="inlineStr">
        <is>
          <t>Upstream Energy</t>
        </is>
      </c>
      <c r="O219" s="30" t="inlineStr">
        <is>
          <t>Asia/Pacific International Coal Mining</t>
        </is>
      </c>
      <c r="P219" s="28" t="n">
        <v>3231</v>
      </c>
      <c r="Q219" s="28" t="n">
        <v>2455.99999983197</v>
      </c>
      <c r="R219" s="28" t="n">
        <v>1216</v>
      </c>
      <c r="S219" s="28" t="n">
        <v>35.7704631517623</v>
      </c>
      <c r="T219" s="28" t="n">
        <v>47.0579667928925</v>
      </c>
      <c r="U219" s="28" t="n">
        <v>17.710457325954</v>
      </c>
    </row>
    <row r="220" ht="15" customHeight="1">
      <c r="A220" s="25" t="inlineStr">
        <is>
          <t>SGR-AU</t>
        </is>
      </c>
      <c r="B220" s="25" t="inlineStr">
        <is>
          <t>The Star Entertainment Group Ltd.</t>
        </is>
      </c>
      <c r="C220" s="25" t="inlineStr">
        <is>
          <t>Public</t>
        </is>
      </c>
      <c r="D220" s="25" t="inlineStr">
        <is>
          <t>Australia</t>
        </is>
      </c>
      <c r="E220" s="26" t="n">
        <v>2011</v>
      </c>
      <c r="F220" s="27" t="n">
        <v>950</v>
      </c>
      <c r="G220" s="28" t="n">
        <v>1148.3</v>
      </c>
      <c r="H220" s="25" t="inlineStr">
        <is>
          <t>Pacific</t>
        </is>
      </c>
      <c r="I220" s="25" t="inlineStr">
        <is>
          <t>Queensland (QLD)</t>
        </is>
      </c>
      <c r="J220" s="28" t="n">
        <v>1822.30004491335</v>
      </c>
      <c r="K220" s="25" t="inlineStr">
        <is>
          <t>The Star Entertainment Group Ltd. engages in the management of integrated resorts with gaming, entertainment, and hospitality services. It operates through the following segments: Sydney, Gold Coast, and Brisbane. The Sydney segment offers casino operations, including hotels, restaurants, bars, and other entertainment facilities. The Gold Coast segment consists of casino operations, including hotels, theatre, restaurants, bars, and other entertainment facilities. The Brisbane segment includes casino operations, including hotels, restaurants, and bars. The company was founded on March 2, 2011 and is headquartered in Brisbane, Australia.</t>
        </is>
      </c>
      <c r="L220" s="25" t="inlineStr">
        <is>
          <t>Arts, Entertainment and Recreation Providers</t>
        </is>
      </c>
      <c r="M220" s="25" t="inlineStr">
        <is>
          <t>Hospitality Services</t>
        </is>
      </c>
      <c r="N220" s="25" t="inlineStr">
        <is>
          <t>Hospitality Services</t>
        </is>
      </c>
      <c r="O220" s="30" t="inlineStr">
        <is>
          <t>Physical and Online Casinos</t>
        </is>
      </c>
      <c r="P220" s="28" t="n">
        <v>190.1</v>
      </c>
      <c r="Q220" s="28" t="n">
        <v>-9.3999979920246</v>
      </c>
      <c r="R220" s="28" t="n">
        <v>-427.899999999999</v>
      </c>
      <c r="S220" s="28" t="n">
        <v>-0.818601410781155</v>
      </c>
      <c r="T220" s="28" t="n">
        <v>16.5549072542019</v>
      </c>
      <c r="U220" s="28" t="n">
        <v>-37.2637812418358</v>
      </c>
    </row>
    <row r="221" ht="15" customHeight="1">
      <c r="A221" s="25" t="inlineStr">
        <is>
          <t>CTD-AU</t>
        </is>
      </c>
      <c r="B221" s="25" t="inlineStr">
        <is>
          <t>Corporate Travel Management Ltd.</t>
        </is>
      </c>
      <c r="C221" s="25" t="inlineStr">
        <is>
          <t>Public</t>
        </is>
      </c>
      <c r="D221" s="25" t="inlineStr">
        <is>
          <t>Australia</t>
        </is>
      </c>
      <c r="E221" s="26" t="n">
        <v>2008</v>
      </c>
      <c r="F221" s="27" t="n">
        <v>2990</v>
      </c>
      <c r="G221" s="28" t="n">
        <v>707.675</v>
      </c>
      <c r="H221" s="25" t="inlineStr">
        <is>
          <t>Pacific</t>
        </is>
      </c>
      <c r="I221" s="25" t="inlineStr">
        <is>
          <t>Queensland (QLD)</t>
        </is>
      </c>
      <c r="J221" s="28" t="n">
        <v>1682.7849872717</v>
      </c>
      <c r="K221" s="25" t="inlineStr">
        <is>
          <t>Corporate Travel Management Ltd. engages in managing the procurement and delivery of travel and accommodation agency services for its clients. It operates through the following geographical segments: Australia and New Zealand, North America, Asia, Europe, and Other. The Other segment refers to the group’s support service, created to support the operating segments, and growth of the global business. The company was founded by James Michael Pherous in 1994 and is headquartered in Brisbane, Australia.</t>
        </is>
      </c>
      <c r="L221" s="25" t="inlineStr">
        <is>
          <t>Travel Arrangement and Reservation Services</t>
        </is>
      </c>
      <c r="M221" s="25" t="inlineStr">
        <is>
          <t>Hospitality Services</t>
        </is>
      </c>
      <c r="N221" s="25" t="inlineStr">
        <is>
          <t>Hospitality Services</t>
        </is>
      </c>
      <c r="O221" s="30" t="inlineStr">
        <is>
          <t>Travel Agencies</t>
        </is>
      </c>
      <c r="P221" s="28" t="n">
        <v>155.832999999999</v>
      </c>
      <c r="Q221" s="28" t="n">
        <v>195.135999909357</v>
      </c>
      <c r="R221" s="28" t="n">
        <v>84.452</v>
      </c>
      <c r="S221" s="28" t="n">
        <v>27.5742395873812</v>
      </c>
      <c r="T221" s="28" t="n">
        <v>22.020418977638</v>
      </c>
      <c r="U221" s="28" t="n">
        <v>11.9337266400537</v>
      </c>
    </row>
    <row r="222" ht="15" customHeight="1">
      <c r="A222" s="25" t="inlineStr">
        <is>
          <t>MYX-AU</t>
        </is>
      </c>
      <c r="B222" s="25" t="inlineStr">
        <is>
          <t>Mayne Pharma Group Ltd.</t>
        </is>
      </c>
      <c r="C222" s="25" t="inlineStr">
        <is>
          <t>Public</t>
        </is>
      </c>
      <c r="D222" s="25" t="inlineStr">
        <is>
          <t>Australia</t>
        </is>
      </c>
      <c r="E222" s="26" t="n">
        <v>2005</v>
      </c>
      <c r="F222" s="27" t="inlineStr">
        <is>
          <t>-</t>
        </is>
      </c>
      <c r="G222" s="28" t="n">
        <v>408.095</v>
      </c>
      <c r="H222" s="25" t="inlineStr">
        <is>
          <t>Pacific</t>
        </is>
      </c>
      <c r="I222" s="25" t="inlineStr">
        <is>
          <t>South Australia (SA)</t>
        </is>
      </c>
      <c r="J222" s="28" t="n">
        <v>1014.60502500648</v>
      </c>
      <c r="K222" s="25" t="inlineStr">
        <is>
          <t>Mayne Pharma Group Ltd. engages in the development and manufacture of proprietary and generic products. It operates through the following segments: Generic Products, Specialty Products, Metrics Contract Services, and Mayne Pharma International. The Generic Products segment is involved in the manufacture and distribution of generic and branded pharmaceutical products. The Metrics Contract Services segment provides contract pharmaceutical services. The Specialty Products segment includes the distribution of branded pharmaceutical products. The Mayne Pharma International segment manufactures and sells branded and generic pharmaceutical products and provides contract manufacturing services to third party customers within Australia. The company was founded in 1845 and is headquartered in Salisbury, Australia.</t>
        </is>
      </c>
      <c r="L222" s="25" t="inlineStr">
        <is>
          <t>Diversified Biopharmaceuticals</t>
        </is>
      </c>
      <c r="M222" s="25" t="inlineStr">
        <is>
          <t>Other Biopharmaceuticals</t>
        </is>
      </c>
      <c r="N222" s="25" t="inlineStr">
        <is>
          <t>Biopharmaceuticals</t>
        </is>
      </c>
      <c r="O222" s="30" t="inlineStr">
        <is>
          <t>Diversified Biopharmaceuticals</t>
        </is>
      </c>
      <c r="P222" s="28" t="n">
        <v>186.273</v>
      </c>
      <c r="Q222" s="28" t="n">
        <v>45.5610069354639</v>
      </c>
      <c r="R222" s="28" t="n">
        <v>-90.071</v>
      </c>
      <c r="S222" s="28" t="n">
        <v>11.1643122312207</v>
      </c>
      <c r="T222" s="28" t="n">
        <v>45.6445190458104</v>
      </c>
      <c r="U222" s="28" t="n">
        <v>-22.0710863891986</v>
      </c>
    </row>
    <row r="223" ht="15" customHeight="1">
      <c r="A223" s="25" t="inlineStr">
        <is>
          <t>ADH-AU</t>
        </is>
      </c>
      <c r="B223" s="25" t="inlineStr">
        <is>
          <t>Adairs Ltd.</t>
        </is>
      </c>
      <c r="C223" s="25" t="inlineStr">
        <is>
          <t>Public</t>
        </is>
      </c>
      <c r="D223" s="25" t="inlineStr">
        <is>
          <t>Australia</t>
        </is>
      </c>
      <c r="E223" s="26" t="n">
        <v>2010</v>
      </c>
      <c r="F223" s="27" t="inlineStr">
        <is>
          <t>-</t>
        </is>
      </c>
      <c r="G223" s="28" t="n">
        <v>618.1203275054841</v>
      </c>
      <c r="H223" s="25" t="inlineStr">
        <is>
          <t>Pacific</t>
        </is>
      </c>
      <c r="I223" s="25" t="inlineStr">
        <is>
          <t>Victoria (VIC)</t>
        </is>
      </c>
      <c r="J223" s="28" t="n">
        <v>658.509309198713</v>
      </c>
      <c r="K223" s="25" t="inlineStr">
        <is>
          <t>Adairs Ltd. is engaged in retail operations in the manchester and homewares. It operates through the following segments: Adairs, Focus on Furniture and Mocka. The Adairs segment offers a lay-by service to customers, where control of the goods under the lay-by arrangement passes to the customer when the goods have been paid for in full and collected by the customer. The Focus on Furniture segment is a vertically integrated omnichannel furniture and bedding retailer offering well designed, functional, and on-trend products at great value for money through its network of stores in Australia and its online channel. The Mocka segment sells its own exclusive, well-designed, functional and stylish products in the Home Furniture &amp; Decor, Kids and Baby categories. The company was founded in 1981 and is headquartered in Melbourne, Australia.</t>
        </is>
      </c>
      <c r="L223" s="25" t="inlineStr">
        <is>
          <t>Furniture and Home Furnishings Stores</t>
        </is>
      </c>
      <c r="M223" s="25" t="inlineStr">
        <is>
          <t>Home Improvement Retail</t>
        </is>
      </c>
      <c r="N223" s="25" t="inlineStr">
        <is>
          <t>Consumer Retail</t>
        </is>
      </c>
      <c r="O223" s="30" t="inlineStr">
        <is>
          <t>Home Decor and Furnishings Stores</t>
        </is>
      </c>
      <c r="P223" s="28" t="n">
        <v>111.865126606983</v>
      </c>
      <c r="Q223" s="28" t="n">
        <v>124.384692899261</v>
      </c>
      <c r="R223" s="28" t="n">
        <v>25.6831770205663</v>
      </c>
      <c r="S223" s="28" t="n">
        <v>20.1230561146237</v>
      </c>
      <c r="T223" s="28" t="n">
        <v>18.0976294791067</v>
      </c>
      <c r="U223" s="28" t="n">
        <v>4.15504488005022</v>
      </c>
    </row>
    <row r="224" ht="15" customHeight="1">
      <c r="A224" s="25" t="inlineStr">
        <is>
          <t>SDR-AU</t>
        </is>
      </c>
      <c r="B224" s="25" t="inlineStr">
        <is>
          <t>SiteMinder Ltd.</t>
        </is>
      </c>
      <c r="C224" s="25" t="inlineStr">
        <is>
          <t>Public</t>
        </is>
      </c>
      <c r="D224" s="25" t="inlineStr">
        <is>
          <t>Australia</t>
        </is>
      </c>
      <c r="E224" s="26" t="n">
        <v>2006</v>
      </c>
      <c r="F224" s="27" t="n">
        <v>1157</v>
      </c>
      <c r="G224" s="28" t="n">
        <v>224.327</v>
      </c>
      <c r="H224" s="25" t="inlineStr">
        <is>
          <t>Pacific</t>
        </is>
      </c>
      <c r="I224" s="25" t="inlineStr">
        <is>
          <t>New South Wales (NSW)</t>
        </is>
      </c>
      <c r="J224" s="28" t="n">
        <v>128.683003171588</v>
      </c>
      <c r="K224" s="25" t="inlineStr">
        <is>
          <t>SiteMinder Ltd. is an open hotel commerce platform, which engages in the hotels and accommodation providers a comprehensive range of products and solutions to manage and streamline the distribution of rooms across a wide selection of direct and indirect channels, take bookings from guests and communicate with guests. The firm's products include TheBookingButton, SiteMinder, and Canvas Website builder. Its Internet-based software helps hotels sell rooms on accommodation booking sites. The company was founded by Mike Ford and Mike Rogers in 2006 and is headquartered in Millers Point, Australia.</t>
        </is>
      </c>
      <c r="L224" s="25" t="inlineStr">
        <is>
          <t>Accommodation Providers</t>
        </is>
      </c>
      <c r="M224" s="25" t="inlineStr">
        <is>
          <t>Hospitality Services</t>
        </is>
      </c>
      <c r="N224" s="25" t="inlineStr">
        <is>
          <t>Hospitality Services</t>
        </is>
      </c>
      <c r="O224" s="30" t="inlineStr">
        <is>
          <t>Hospitality Industry Software</t>
        </is>
      </c>
      <c r="P224" s="28" t="n">
        <v>9.249999999999989</v>
      </c>
      <c r="Q224" s="28" t="n">
        <v>15.4409998341098</v>
      </c>
      <c r="R224" s="28" t="n">
        <v>-24.5089999999999</v>
      </c>
      <c r="S224" s="28" t="n">
        <v>6.88325524791933</v>
      </c>
      <c r="T224" s="28" t="n">
        <v>4.12344479264645</v>
      </c>
      <c r="U224" s="28" t="n">
        <v>-10.9255684781591</v>
      </c>
    </row>
    <row r="225" ht="15" customHeight="1">
      <c r="A225" s="25" t="inlineStr">
        <is>
          <t>NXT-AU</t>
        </is>
      </c>
      <c r="B225" s="25" t="inlineStr">
        <is>
          <t>NextDC Ltd.</t>
        </is>
      </c>
      <c r="C225" s="25" t="inlineStr">
        <is>
          <t>Public</t>
        </is>
      </c>
      <c r="D225" s="25" t="inlineStr">
        <is>
          <t>Australia</t>
        </is>
      </c>
      <c r="E225" s="26" t="n">
        <v>2010</v>
      </c>
      <c r="F225" s="27" t="n">
        <v>310</v>
      </c>
      <c r="G225" s="28" t="n">
        <v>427.209</v>
      </c>
      <c r="H225" s="25" t="inlineStr">
        <is>
          <t>Pacific</t>
        </is>
      </c>
      <c r="I225" s="25" t="inlineStr">
        <is>
          <t>Queensland (QLD)</t>
        </is>
      </c>
      <c r="J225" s="28" t="n">
        <v>5688.68714020634</v>
      </c>
      <c r="K225" s="25" t="inlineStr">
        <is>
          <t>NextDC Ltd. engages in the operation and development of data centers. It operates through the following segments: Vic, NSW/ACT, Rest of Australia, International, and Other. The company was founded by Bevan Andrew Slattery on May 11, 2010, and is headquartered in Brisbane, Australia.</t>
        </is>
      </c>
      <c r="L225" s="25" t="inlineStr">
        <is>
          <t>Internet Hosting Services</t>
        </is>
      </c>
      <c r="M225" s="25" t="inlineStr">
        <is>
          <t>Internet and Data Services</t>
        </is>
      </c>
      <c r="N225" s="25" t="inlineStr">
        <is>
          <t>Software and Consulting</t>
        </is>
      </c>
      <c r="O225" s="30" t="inlineStr">
        <is>
          <t>Colocation and Data Center Services</t>
        </is>
      </c>
      <c r="P225" s="28" t="n">
        <v>33.7819999999999</v>
      </c>
      <c r="Q225" s="28" t="n">
        <v>204.573996870168</v>
      </c>
      <c r="R225" s="28" t="n">
        <v>-60.5429999999999</v>
      </c>
      <c r="S225" s="28" t="n">
        <v>47.8861634469311</v>
      </c>
      <c r="T225" s="28" t="n">
        <v>7.90760494277976</v>
      </c>
      <c r="U225" s="28" t="n">
        <v>-14.1717519996067</v>
      </c>
    </row>
    <row r="226" ht="15" customHeight="1">
      <c r="A226" s="25" t="inlineStr">
        <is>
          <t>OFX-AU</t>
        </is>
      </c>
      <c r="B226" s="25" t="inlineStr">
        <is>
          <t>OFX Group Ltd.</t>
        </is>
      </c>
      <c r="C226" s="25" t="inlineStr">
        <is>
          <t>Public</t>
        </is>
      </c>
      <c r="D226" s="25" t="inlineStr">
        <is>
          <t>Australia</t>
        </is>
      </c>
      <c r="E226" s="26" t="n">
        <v>2013</v>
      </c>
      <c r="F226" s="27" t="n">
        <v>692</v>
      </c>
      <c r="G226" s="28" t="n">
        <v>231.365</v>
      </c>
      <c r="H226" s="25" t="inlineStr">
        <is>
          <t>Pacific</t>
        </is>
      </c>
      <c r="I226" s="25" t="inlineStr">
        <is>
          <t>New South Wales (NSW)</t>
        </is>
      </c>
      <c r="J226" s="28" t="n">
        <v>583.549008358171</v>
      </c>
      <c r="K226" s="25" t="inlineStr">
        <is>
          <t>OFX Group Ltd. engages in providing international payment and foreign exchange services. It also provides international payment solutions to partner companies which assist them to offer international payment services to their end-users. The firm operates through following segments: Consumer, Corporate, Enterprise, and Online Sellers. The company was founded by Matthew Gilmour in 1998 and is headquartered in Sydney, Australia.</t>
        </is>
      </c>
      <c r="L226" s="25" t="inlineStr">
        <is>
          <t>Consumer Finance Services</t>
        </is>
      </c>
      <c r="M226" s="25" t="inlineStr">
        <is>
          <t>Specialty Finance</t>
        </is>
      </c>
      <c r="N226" s="25" t="inlineStr">
        <is>
          <t>Specialty Finance and Services</t>
        </is>
      </c>
      <c r="O226" s="30" t="inlineStr">
        <is>
          <t>Electronic Transaction Processing/Clearinghouses</t>
        </is>
      </c>
      <c r="P226" s="28" t="n">
        <v>192.042999999999</v>
      </c>
      <c r="Q226" s="28" t="n">
        <v>57.6719952053995</v>
      </c>
      <c r="R226" s="28" t="n">
        <v>24.862</v>
      </c>
      <c r="S226" s="28" t="n">
        <v>24.9268471895058</v>
      </c>
      <c r="T226" s="28" t="n">
        <v>83.004343785793</v>
      </c>
      <c r="U226" s="28" t="n">
        <v>10.7457912821732</v>
      </c>
    </row>
    <row r="227" ht="15" customHeight="1">
      <c r="A227" s="25" t="inlineStr">
        <is>
          <t>DDR-AU</t>
        </is>
      </c>
      <c r="B227" s="25" t="inlineStr">
        <is>
          <t>Dicker Data Ltd.</t>
        </is>
      </c>
      <c r="C227" s="25" t="inlineStr">
        <is>
          <t>Public</t>
        </is>
      </c>
      <c r="D227" s="25" t="inlineStr">
        <is>
          <t>Australia</t>
        </is>
      </c>
      <c r="E227" s="26" t="n">
        <v>1972</v>
      </c>
      <c r="F227" s="27" t="n">
        <v>893</v>
      </c>
      <c r="G227" s="28" t="n">
        <v>2272.77699999999</v>
      </c>
      <c r="H227" s="25" t="inlineStr">
        <is>
          <t>Pacific</t>
        </is>
      </c>
      <c r="I227" s="25" t="inlineStr">
        <is>
          <t>New South Wales (NSW)</t>
        </is>
      </c>
      <c r="J227" s="28" t="n">
        <v>1061.89896706174</v>
      </c>
      <c r="K227" s="25" t="inlineStr">
        <is>
          <t>Dicker Data Ltd. engages in the distribution of information technology hardware, software, cloud, and emerging technology solutions for corporate and commercial market. It operates under the Australia and New Zealand geographical segments. The company was founded by Fiona Tudor Brown and David John Dicker on July 1, 1978 and is headquartered in Kurnell, Australia.</t>
        </is>
      </c>
      <c r="L227" s="25" t="inlineStr">
        <is>
          <t>Electronics Retail</t>
        </is>
      </c>
      <c r="M227" s="25" t="inlineStr">
        <is>
          <t>Electronics and Entertainment Retail</t>
        </is>
      </c>
      <c r="N227" s="25" t="inlineStr">
        <is>
          <t>Consumer Retail</t>
        </is>
      </c>
      <c r="O227" s="30" t="inlineStr">
        <is>
          <t>Computer and Software Stores</t>
        </is>
      </c>
      <c r="P227" s="28" t="n">
        <v>163.045999999999</v>
      </c>
      <c r="Q227" s="28" t="n">
        <v>150.43400863705</v>
      </c>
      <c r="R227" s="28" t="n">
        <v>78.6939999999999</v>
      </c>
      <c r="S227" s="28" t="n">
        <v>6.61895117734824</v>
      </c>
      <c r="T227" s="28" t="n">
        <v>7.17386703578926</v>
      </c>
      <c r="U227" s="28" t="n">
        <v>3.46246024136992</v>
      </c>
    </row>
    <row r="228" ht="15" customHeight="1">
      <c r="A228" s="25" t="inlineStr">
        <is>
          <t>KLS-AU</t>
        </is>
      </c>
      <c r="B228" s="25" t="inlineStr">
        <is>
          <t>Kelsian Group Ltd.</t>
        </is>
      </c>
      <c r="C228" s="25" t="inlineStr">
        <is>
          <t>Public</t>
        </is>
      </c>
      <c r="D228" s="25" t="inlineStr">
        <is>
          <t>Australia</t>
        </is>
      </c>
      <c r="E228" s="26" t="n">
        <v>2004</v>
      </c>
      <c r="F228" s="27" t="n">
        <v>12800</v>
      </c>
      <c r="G228" s="28" t="n">
        <v>2208.90899999999</v>
      </c>
      <c r="H228" s="25" t="inlineStr">
        <is>
          <t>Pacific</t>
        </is>
      </c>
      <c r="I228" s="25" t="inlineStr">
        <is>
          <t>South Australia (SA)</t>
        </is>
      </c>
      <c r="J228" s="28" t="n">
        <v>2499.4730616033</v>
      </c>
      <c r="K228" s="25" t="inlineStr">
        <is>
          <t>Kelsian Group Ltd. engages in the provision of multi-modal transportation and tourism services. It operates through the following segments: Marine and Tourism; Australian Bus; International Bus; and Corporate. The Marine and Tourism segment focuses on vehicle and passenger ferry services, barging, coach tours, and package holidays, lunch, dinner, and charter cruises, and accommodation facilities. The Australian Bus segment provides metropolitan public bus services in Sydney, Melbourne, Perth, Adelaide, and Darwin. The International Bus segment includes bus services in London and Singapore. The Corporate segment is involved in finance, domestic, and international sales and marketing, information and technology, business development, fleet management, health and safety, and administration and risk management support. The company was founded in 1989 and is headquartered in Adelaide, Australia.</t>
        </is>
      </c>
      <c r="L228" s="25" t="inlineStr">
        <is>
          <t>Other Passenger Transportation</t>
        </is>
      </c>
      <c r="M228" s="25" t="inlineStr">
        <is>
          <t>Passenger Transportation</t>
        </is>
      </c>
      <c r="N228" s="25" t="inlineStr">
        <is>
          <t>Industrial Services</t>
        </is>
      </c>
      <c r="O228" s="30" t="inlineStr">
        <is>
          <t>Bus Transportation</t>
        </is>
      </c>
      <c r="P228" s="28" t="n">
        <v>399.033000000001</v>
      </c>
      <c r="Q228" s="28" t="n">
        <v>269.000994161012</v>
      </c>
      <c r="R228" s="28" t="n">
        <v>54.494</v>
      </c>
      <c r="S228" s="28" t="n">
        <v>12.1780028059101</v>
      </c>
      <c r="T228" s="28" t="n">
        <v>18.0647097730147</v>
      </c>
      <c r="U228" s="28" t="n">
        <v>2.46700973195365</v>
      </c>
    </row>
    <row r="229" ht="15" customHeight="1">
      <c r="A229" s="25" t="inlineStr">
        <is>
          <t>AFG-AU</t>
        </is>
      </c>
      <c r="B229" s="25" t="inlineStr">
        <is>
          <t>Australian Finance Group Ltd.</t>
        </is>
      </c>
      <c r="C229" s="25" t="inlineStr">
        <is>
          <t>Public</t>
        </is>
      </c>
      <c r="D229" s="25" t="inlineStr">
        <is>
          <t>Australia</t>
        </is>
      </c>
      <c r="E229" s="26" t="n">
        <v>1994</v>
      </c>
      <c r="F229" s="27" t="n">
        <v>318</v>
      </c>
      <c r="G229" s="28" t="n">
        <v>1254.7</v>
      </c>
      <c r="H229" s="25" t="inlineStr">
        <is>
          <t>Pacific</t>
        </is>
      </c>
      <c r="I229" s="25" t="inlineStr">
        <is>
          <t>Western Australia (WA)</t>
        </is>
      </c>
      <c r="J229" s="28" t="n">
        <v>7067.50017418927</v>
      </c>
      <c r="K229" s="25" t="inlineStr">
        <is>
          <t>Australian Finance Group Ltd. engages in the provision of mortgage brokerage business. It operates through the Aggregation and AFG Home Loans segments. The Aggregation segment is involved in operating activities in which the group acts as a wholesale mortgage broker that provides its contracted brokers with administrative and infrastructure support as well as access to a panel of lenders. The AFG Home Loans segment focuses on the group’s branded mortgage products, funded by third party wholesale funding providers and AFG Securities mortgages that are distributed through the group’s broker network. The company was founded by Bradley Mcgougan, Brett McKeon, Malcolm Watkins and Kevin Matthews on September 27, 1994 and is headquartered in West Perth, Australia.</t>
        </is>
      </c>
      <c r="L229" s="25" t="inlineStr">
        <is>
          <t>Mortgage Banking</t>
        </is>
      </c>
      <c r="M229" s="25" t="inlineStr">
        <is>
          <t>Mortgage Banking</t>
        </is>
      </c>
      <c r="N229" s="25" t="inlineStr">
        <is>
          <t>Banking</t>
        </is>
      </c>
      <c r="O229" s="30" t="inlineStr">
        <is>
          <t>Other Mortgage Banking Services</t>
        </is>
      </c>
      <c r="P229" s="28" t="n">
        <v>411.6</v>
      </c>
      <c r="Q229" s="28" t="n">
        <v>336.800004273538</v>
      </c>
      <c r="R229" s="28" t="n">
        <v>34.9999999999999</v>
      </c>
      <c r="S229" s="28" t="n">
        <v>26.8430700565872</v>
      </c>
      <c r="T229" s="28" t="n">
        <v>32.8046544990834</v>
      </c>
      <c r="U229" s="28" t="n">
        <v>2.78951143699689</v>
      </c>
    </row>
    <row r="230" ht="15" customHeight="1">
      <c r="A230" s="25" t="inlineStr">
        <is>
          <t>AIS-AU</t>
        </is>
      </c>
      <c r="B230" s="25" t="inlineStr">
        <is>
          <t>Aeris Resources Ltd.</t>
        </is>
      </c>
      <c r="C230" s="25" t="inlineStr">
        <is>
          <t>Public</t>
        </is>
      </c>
      <c r="D230" s="25" t="inlineStr">
        <is>
          <t>Australia</t>
        </is>
      </c>
      <c r="E230" s="26" t="n">
        <v>2010</v>
      </c>
      <c r="F230" s="27" t="inlineStr">
        <is>
          <t>-</t>
        </is>
      </c>
      <c r="G230" s="28" t="n">
        <v>575.837</v>
      </c>
      <c r="H230" s="25" t="inlineStr">
        <is>
          <t>Pacific</t>
        </is>
      </c>
      <c r="I230" s="25" t="inlineStr">
        <is>
          <t>Queensland (QLD)</t>
        </is>
      </c>
      <c r="J230" s="28" t="n">
        <v>608.64701500103</v>
      </c>
      <c r="K230" s="25" t="inlineStr">
        <is>
          <t>Aeris Resources Ltd. engages in the production, exploration, and sale of copper, gold and silver. The company operates through the following segments: Tritton, Cracow, North Queensland, Jaguar, Stockman, and Other. The company was founded on November 1, 2010, and is headquartered in Brisbane, Australia.</t>
        </is>
      </c>
      <c r="L230" s="25" t="inlineStr">
        <is>
          <t>Base Metal Mining</t>
        </is>
      </c>
      <c r="M230" s="25" t="inlineStr">
        <is>
          <t>Metal Ore Mining</t>
        </is>
      </c>
      <c r="N230" s="25" t="inlineStr">
        <is>
          <t>Mining and Mineral Products</t>
        </is>
      </c>
      <c r="O230" s="30" t="inlineStr">
        <is>
          <t>Non-Ferrous Metal Ore Mining</t>
        </is>
      </c>
      <c r="P230" s="28" t="n">
        <v>108.803999999999</v>
      </c>
      <c r="Q230" s="28" t="n">
        <v>166.118996403315</v>
      </c>
      <c r="R230" s="28" t="n">
        <v>45.2019999999999</v>
      </c>
      <c r="S230" s="28" t="n">
        <v>28.848267825791</v>
      </c>
      <c r="T230" s="28" t="n">
        <v>18.8949303361889</v>
      </c>
      <c r="U230" s="28" t="n">
        <v>7.84979082622339</v>
      </c>
    </row>
    <row r="231" ht="15" customHeight="1">
      <c r="A231" s="25" t="inlineStr">
        <is>
          <t>GNG-AU</t>
        </is>
      </c>
      <c r="B231" s="25" t="inlineStr">
        <is>
          <t>GR Engineering Services Ltd.</t>
        </is>
      </c>
      <c r="C231" s="25" t="inlineStr">
        <is>
          <t>Public</t>
        </is>
      </c>
      <c r="D231" s="25" t="inlineStr">
        <is>
          <t>Australia</t>
        </is>
      </c>
      <c r="E231" s="26" t="n">
        <v>2006</v>
      </c>
      <c r="F231" s="27" t="n">
        <v>979</v>
      </c>
      <c r="G231" s="28" t="n">
        <v>479.020483</v>
      </c>
      <c r="H231" s="25" t="inlineStr">
        <is>
          <t>Pacific</t>
        </is>
      </c>
      <c r="I231" s="25" t="inlineStr">
        <is>
          <t>Western Australia (WA)</t>
        </is>
      </c>
      <c r="J231" s="28" t="n">
        <v>196.044861831823</v>
      </c>
      <c r="K231" s="25" t="inlineStr">
        <is>
          <t>GR Engineering Services Ltd. engages in the provision of engineering, consulting and contracting to the mining and mineral processing industry. It operates through the Mineral Processing and Oil and Gas segments. The Mineral Processing segment includes engineering, procurement, and construction (EPC), and management contracts. The Oil and Gas segment offers delivery of operations and maintenance, wellsites, engineering, and production assurance services. The company was founded by Tony Marco Patrizi, Barry Sydney Patterson, Joseph Mario Paul Ricciardo, David Joseph Sala Tenna, and Giuseppe Totaro on September 04, 2006 and is headquartered in Ascot, Australia.</t>
        </is>
      </c>
      <c r="L231" s="25" t="inlineStr">
        <is>
          <t>Infrastructure Construction/Contracting Services</t>
        </is>
      </c>
      <c r="M231" s="25" t="inlineStr">
        <is>
          <t>Facilities and Construction Services</t>
        </is>
      </c>
      <c r="N231" s="25" t="inlineStr">
        <is>
          <t>Industrial Services</t>
        </is>
      </c>
      <c r="O231" s="30" t="inlineStr">
        <is>
          <t>Diverse Construction and Engineering Services</t>
        </is>
      </c>
      <c r="P231" s="28" t="n">
        <v>64.139286</v>
      </c>
      <c r="Q231" s="28" t="n">
        <v>55.4422512005943</v>
      </c>
      <c r="R231" s="28" t="n">
        <v>34.2086919999999</v>
      </c>
      <c r="S231" s="28" t="n">
        <v>11.5740875322862</v>
      </c>
      <c r="T231" s="28" t="n">
        <v>13.3896750298254</v>
      </c>
      <c r="U231" s="28" t="n">
        <v>7.1413839729271</v>
      </c>
    </row>
    <row r="232" ht="15" customHeight="1">
      <c r="A232" s="25" t="inlineStr">
        <is>
          <t>BCB-AU</t>
        </is>
      </c>
      <c r="B232" s="25" t="inlineStr">
        <is>
          <t>Bowen Coking Coal Ltd.</t>
        </is>
      </c>
      <c r="C232" s="25" t="inlineStr">
        <is>
          <t>Public</t>
        </is>
      </c>
      <c r="D232" s="25" t="inlineStr">
        <is>
          <t>Australia</t>
        </is>
      </c>
      <c r="E232" s="26" t="n">
        <v>1994</v>
      </c>
      <c r="F232" s="27" t="inlineStr">
        <is>
          <t>-</t>
        </is>
      </c>
      <c r="G232" s="28" t="n">
        <v>441.858246999999</v>
      </c>
      <c r="H232" s="25" t="inlineStr">
        <is>
          <t>Pacific</t>
        </is>
      </c>
      <c r="I232" s="25" t="inlineStr">
        <is>
          <t>Queensland (QLD)</t>
        </is>
      </c>
      <c r="J232" s="28" t="n">
        <v>335.524710462147</v>
      </c>
      <c r="K232" s="25" t="inlineStr">
        <is>
          <t>Bowen Coking Coal Ltd. engages in the exploration, development, and production of mineral properties. It operates through the following segments: Mining and Sale of Coal, Exploration and Development of Coal, and Corporate. The company was founded on July 6, 1994 and is headquartered in Brisbane, Australia.</t>
        </is>
      </c>
      <c r="L232" s="25" t="inlineStr">
        <is>
          <t>Asia/Pacific International Coal Mining</t>
        </is>
      </c>
      <c r="M232" s="25" t="inlineStr">
        <is>
          <t>Coal and Uranium Mining</t>
        </is>
      </c>
      <c r="N232" s="25" t="inlineStr">
        <is>
          <t>Upstream Energy</t>
        </is>
      </c>
      <c r="O232" s="30" t="inlineStr">
        <is>
          <t>Asia/Pacific International Coal Mining</t>
        </is>
      </c>
      <c r="P232" s="28" t="n">
        <v>-49.5239909999999</v>
      </c>
      <c r="Q232" s="28" t="n">
        <v>-34.8026415988583</v>
      </c>
      <c r="R232" s="28" t="n">
        <v>-95.456841</v>
      </c>
      <c r="S232" s="28" t="n">
        <v>-7.87642648661484</v>
      </c>
      <c r="T232" s="28" t="n">
        <v>-11.208117385212</v>
      </c>
      <c r="U232" s="28" t="n">
        <v>-21.6034987800058</v>
      </c>
    </row>
    <row r="233" ht="15" customHeight="1">
      <c r="A233" s="25" t="inlineStr">
        <is>
          <t>SWM-AU</t>
        </is>
      </c>
      <c r="B233" s="25" t="inlineStr">
        <is>
          <t>Seven West Media Ltd.</t>
        </is>
      </c>
      <c r="C233" s="25" t="inlineStr">
        <is>
          <t>Public</t>
        </is>
      </c>
      <c r="D233" s="25" t="inlineStr">
        <is>
          <t>Australia</t>
        </is>
      </c>
      <c r="E233" s="26" t="n">
        <v>1991</v>
      </c>
      <c r="F233" s="27" t="inlineStr">
        <is>
          <t>-</t>
        </is>
      </c>
      <c r="G233" s="28" t="n">
        <v>1311.36599999999</v>
      </c>
      <c r="H233" s="25" t="inlineStr">
        <is>
          <t>Pacific</t>
        </is>
      </c>
      <c r="I233" s="25" t="inlineStr">
        <is>
          <t>Western Australia (WA)</t>
        </is>
      </c>
      <c r="J233" s="28" t="n">
        <v>1565.09703857419</v>
      </c>
      <c r="K233" s="25" t="inlineStr">
        <is>
          <t>Seven West Media Ltd. is a multi platform media company, which engages in the business of free to air television broadcasting, digital streaming, and newspaper publishing. It operates through four segments: Television, The West, Other Business and New Ventures. The Television segment engages in production and operation of commercial television programming and stations as well as distribution of programming content. The West segment includes publishers of newspapers and inserts magazines. The Other Business and New Ventures segment is made up of equity accounted investees and other ventures investments. The company was founded in 1956 and is headquartered in Perth, Australia.</t>
        </is>
      </c>
      <c r="L233" s="25" t="inlineStr">
        <is>
          <t>Entertainment and Programming Providers</t>
        </is>
      </c>
      <c r="M233" s="25" t="inlineStr">
        <is>
          <t>Media and Publishing Services</t>
        </is>
      </c>
      <c r="N233" s="25" t="inlineStr">
        <is>
          <t>Media and Publishing Services</t>
        </is>
      </c>
      <c r="O233" s="30" t="inlineStr">
        <is>
          <t>Television Cable and Broadcast Networks</t>
        </is>
      </c>
      <c r="P233" s="28" t="n">
        <v>280.293</v>
      </c>
      <c r="Q233" s="28" t="n">
        <v>226.945996105819</v>
      </c>
      <c r="R233" s="28" t="n">
        <v>16.63</v>
      </c>
      <c r="S233" s="28" t="n">
        <v>17.3060762594119</v>
      </c>
      <c r="T233" s="28" t="n">
        <v>21.3741243863269</v>
      </c>
      <c r="U233" s="28" t="n">
        <v>1.26814329485437</v>
      </c>
    </row>
    <row r="234" ht="15" customHeight="1">
      <c r="A234" s="25" t="inlineStr">
        <is>
          <t>EML-AU</t>
        </is>
      </c>
      <c r="B234" s="25" t="inlineStr">
        <is>
          <t>EML Payments Ltd.</t>
        </is>
      </c>
      <c r="C234" s="25" t="inlineStr">
        <is>
          <t>Public</t>
        </is>
      </c>
      <c r="D234" s="25" t="inlineStr">
        <is>
          <t>Australia</t>
        </is>
      </c>
      <c r="E234" s="26" t="n">
        <v>2003</v>
      </c>
      <c r="F234" s="27" t="n">
        <v>430</v>
      </c>
      <c r="G234" s="28" t="n">
        <v>228.495999999999</v>
      </c>
      <c r="H234" s="25" t="inlineStr">
        <is>
          <t>Pacific</t>
        </is>
      </c>
      <c r="I234" s="25" t="inlineStr">
        <is>
          <t>Queensland (QLD)</t>
        </is>
      </c>
      <c r="J234" s="28" t="n">
        <v>2682.367066111</v>
      </c>
      <c r="K234" s="25" t="inlineStr">
        <is>
          <t>EML Payments Ltd. engages in the provision of payment solutions and financial services. It operates through the following segments: Gift &amp; Incentive (G&amp;I), General Purpose Reloadable (GPR), Digital Payments (DP), and Group. The Gift &amp; Incentive (G&amp;I) products provides single load gift cards for shopping malls and incentive programs across the world. The General Purpose Reloadable segment includes reloadable cards to a variety of industries including, but not limited to Government, Salary Packaging, Gaming and Digital Banking. The Digital Payments segment focuses on the payment options for consumers. Its operations include funds disbursement, social and welfare payments, loyalty and rewards programs, loan disbursements, corporate expenses, procurement, and salary packaging. The company was founded in 2001 and is headquartered in Brisbane, Australia.</t>
        </is>
      </c>
      <c r="L234" s="25" t="inlineStr">
        <is>
          <t>Consumer Finance Services</t>
        </is>
      </c>
      <c r="M234" s="25" t="inlineStr">
        <is>
          <t>Specialty Finance</t>
        </is>
      </c>
      <c r="N234" s="25" t="inlineStr">
        <is>
          <t>Specialty Finance and Services</t>
        </is>
      </c>
      <c r="O234" s="30" t="inlineStr">
        <is>
          <t>Electronic Transaction Processing/Clearinghouses</t>
        </is>
      </c>
      <c r="P234" s="28" t="n">
        <v>158.148</v>
      </c>
      <c r="Q234" s="28" t="n">
        <v>16.9280040321047</v>
      </c>
      <c r="R234" s="28" t="n">
        <v>-52.9499999999999</v>
      </c>
      <c r="S234" s="28" t="n">
        <v>7.40844478677964</v>
      </c>
      <c r="T234" s="28" t="n">
        <v>69.2125901547511</v>
      </c>
      <c r="U234" s="28" t="n">
        <v>-23.1732721798193</v>
      </c>
    </row>
    <row r="235" ht="15" customHeight="1">
      <c r="A235" s="25" t="inlineStr">
        <is>
          <t>EVN-AU</t>
        </is>
      </c>
      <c r="B235" s="25" t="inlineStr">
        <is>
          <t>Evolution Mining Ltd.</t>
        </is>
      </c>
      <c r="C235" s="25" t="inlineStr">
        <is>
          <t>Public</t>
        </is>
      </c>
      <c r="D235" s="25" t="inlineStr">
        <is>
          <t>Australia</t>
        </is>
      </c>
      <c r="E235" s="26" t="n">
        <v>1998</v>
      </c>
      <c r="F235" s="27" t="n">
        <v>2000</v>
      </c>
      <c r="G235" s="28" t="n">
        <v>4351.47499999999</v>
      </c>
      <c r="H235" s="25" t="inlineStr">
        <is>
          <t>Pacific</t>
        </is>
      </c>
      <c r="I235" s="25" t="inlineStr">
        <is>
          <t>New South Wales (NSW)</t>
        </is>
      </c>
      <c r="J235" s="28" t="n">
        <v>9637.1542375223</v>
      </c>
      <c r="K235" s="25" t="inlineStr">
        <is>
          <t>Evolution Mining Ltd. engages in the exploration, development, operations, and the sale of gold and gold-copper concentrate. It operates through the following business segments: Ernest Henry, Cowal, Mungari, Red Lake, Mt Rawdon, Mt Carlton, and Exploration. The company was founded by Jacob Klein on November 2, 2011 and is headquartered in Sydney, Australia.</t>
        </is>
      </c>
      <c r="L235" s="25" t="inlineStr">
        <is>
          <t>Precious Metal Mining</t>
        </is>
      </c>
      <c r="M235" s="25" t="inlineStr">
        <is>
          <t>Metal Ore Mining</t>
        </is>
      </c>
      <c r="N235" s="25" t="inlineStr">
        <is>
          <t>Mining and Mineral Products</t>
        </is>
      </c>
      <c r="O235" s="30" t="inlineStr">
        <is>
          <t>Asia/Pacific Gold Mining</t>
        </is>
      </c>
      <c r="P235" s="28" t="n">
        <v>1539.392</v>
      </c>
      <c r="Q235" s="28" t="n">
        <v>2201.84400271733</v>
      </c>
      <c r="R235" s="28" t="n">
        <v>926.168999999999</v>
      </c>
      <c r="S235" s="28" t="n">
        <v>50.5999459953234</v>
      </c>
      <c r="T235" s="28" t="n">
        <v>35.3763264180537</v>
      </c>
      <c r="U235" s="28" t="n">
        <v>21.284024382537</v>
      </c>
    </row>
    <row r="236" ht="15" customHeight="1">
      <c r="A236" s="25" t="inlineStr">
        <is>
          <t>URF-AU</t>
        </is>
      </c>
      <c r="B236" s="25" t="inlineStr">
        <is>
          <t>US Masters Residential Property Fund</t>
        </is>
      </c>
      <c r="C236" s="25" t="inlineStr">
        <is>
          <t>Public</t>
        </is>
      </c>
      <c r="D236" s="25" t="inlineStr">
        <is>
          <t>Australia</t>
        </is>
      </c>
      <c r="E236" s="26" t="n">
        <v>2011</v>
      </c>
      <c r="F236" s="27" t="inlineStr">
        <is>
          <t>-</t>
        </is>
      </c>
      <c r="G236" s="28" t="n">
        <v>33.9839999999999</v>
      </c>
      <c r="H236" s="25" t="inlineStr">
        <is>
          <t>Pacific</t>
        </is>
      </c>
      <c r="I236" s="25" t="inlineStr">
        <is>
          <t>New South Wales (NSW)</t>
        </is>
      </c>
      <c r="J236" s="28" t="n">
        <v>811.605974825397</v>
      </c>
      <c r="K236" s="25" t="inlineStr">
        <is>
          <t>US Masters Residential Property Fund engages in the business of investing in residential real estate associated with the New York metropolitan area in the Unites States of America. The company was founded on April 15, 2011 and is headquartered in Sydney, Australia.</t>
        </is>
      </c>
      <c r="L236" s="25" t="inlineStr">
        <is>
          <t>Equity REITs</t>
        </is>
      </c>
      <c r="M236" s="25" t="inlineStr">
        <is>
          <t>Real Estate Investment Trusts (REITs)</t>
        </is>
      </c>
      <c r="N236" s="25" t="inlineStr">
        <is>
          <t>Real Estate</t>
        </is>
      </c>
      <c r="O236" s="30" t="inlineStr">
        <is>
          <t>Equity REITs</t>
        </is>
      </c>
      <c r="P236" s="28" t="n">
        <v>10.596</v>
      </c>
      <c r="Q236" s="28" t="n">
        <v>2.43499439061201</v>
      </c>
      <c r="R236" s="28" t="n">
        <v>-44.556</v>
      </c>
      <c r="S236" s="28" t="n">
        <v>7.16513653483992</v>
      </c>
      <c r="T236" s="28" t="n">
        <v>31.1793785310735</v>
      </c>
      <c r="U236" s="28" t="n">
        <v>-131.108757062147</v>
      </c>
    </row>
    <row r="237" ht="15" customHeight="1">
      <c r="A237" s="25" t="inlineStr">
        <is>
          <t>AQZ-AU</t>
        </is>
      </c>
      <c r="B237" s="25" t="inlineStr">
        <is>
          <t>Alliance Aviation Services Ltd.</t>
        </is>
      </c>
      <c r="C237" s="25" t="inlineStr">
        <is>
          <t>Public</t>
        </is>
      </c>
      <c r="D237" s="25" t="inlineStr">
        <is>
          <t>Australia</t>
        </is>
      </c>
      <c r="E237" s="26" t="n">
        <v>2011</v>
      </c>
      <c r="F237" s="27" t="n">
        <v>1452</v>
      </c>
      <c r="G237" s="28" t="n">
        <v>760.872</v>
      </c>
      <c r="H237" s="25" t="inlineStr">
        <is>
          <t>Pacific</t>
        </is>
      </c>
      <c r="I237" s="25" t="inlineStr">
        <is>
          <t>Queensland (QLD)</t>
        </is>
      </c>
      <c r="J237" s="28" t="n">
        <v>1205.11202970181</v>
      </c>
      <c r="K237" s="25" t="inlineStr">
        <is>
          <t>Alliance Aviation Services Ltd. engages in the provision of contracts, charter, and allied services. It also offers aircraft sales and leasing. The company was founded in 2002 and is headquartered in Brisbane, Australia.</t>
        </is>
      </c>
      <c r="L237" s="25" t="inlineStr">
        <is>
          <t>Air Passenger Transportation</t>
        </is>
      </c>
      <c r="M237" s="25" t="inlineStr">
        <is>
          <t>Passenger Transportation</t>
        </is>
      </c>
      <c r="N237" s="25" t="inlineStr">
        <is>
          <t>Industrial Services</t>
        </is>
      </c>
      <c r="O237" s="30" t="inlineStr">
        <is>
          <t>Asia/Pacific Air Passenger Service Providers</t>
        </is>
      </c>
      <c r="P237" s="28" t="n">
        <v>130.941999999999</v>
      </c>
      <c r="Q237" s="28" t="n">
        <v>198.532006811011</v>
      </c>
      <c r="R237" s="28" t="n">
        <v>57.3229999999999</v>
      </c>
      <c r="S237" s="28" t="n">
        <v>26.0926936462375</v>
      </c>
      <c r="T237" s="28" t="n">
        <v>17.2094649297122</v>
      </c>
      <c r="U237" s="28" t="n">
        <v>7.53385589166115</v>
      </c>
    </row>
    <row r="238" ht="15" customHeight="1">
      <c r="A238" s="25" t="inlineStr">
        <is>
          <t>ATG-AU</t>
        </is>
      </c>
      <c r="B238" s="25" t="inlineStr">
        <is>
          <t>Articore Group Ltd.</t>
        </is>
      </c>
      <c r="C238" s="25" t="inlineStr">
        <is>
          <t>Public</t>
        </is>
      </c>
      <c r="D238" s="25" t="inlineStr">
        <is>
          <t>Australia</t>
        </is>
      </c>
      <c r="E238" s="26" t="n">
        <v>2006</v>
      </c>
      <c r="F238" s="27" t="inlineStr">
        <is>
          <t>-</t>
        </is>
      </c>
      <c r="G238" s="28" t="n">
        <v>438.643999999999</v>
      </c>
      <c r="H238" s="25" t="inlineStr">
        <is>
          <t>Pacific</t>
        </is>
      </c>
      <c r="I238" s="25" t="inlineStr">
        <is>
          <t>Victoria (VIC)</t>
        </is>
      </c>
      <c r="J238" s="28" t="n">
        <v>109.414002696674</v>
      </c>
      <c r="K238" s="25" t="inlineStr">
        <is>
          <t>Articore Group Ltd. engages in the development and provision of online marketplace, where artists upload their designs and creative works. It operates through the following segments: Redbubble, TeePublic, and Other. The Redbubble and TeePublic segments refer to the online marketplace for print on demand products. The company was founded by Martin Hosking, Paul Vanzella, and Peter Styles on April 10, 2006 and is headquartered in Docklands, Australia.</t>
        </is>
      </c>
      <c r="L238" s="25" t="inlineStr">
        <is>
          <t>Apparel Retail</t>
        </is>
      </c>
      <c r="M238" s="25" t="inlineStr">
        <is>
          <t>Apparel and Accessories Retail</t>
        </is>
      </c>
      <c r="N238" s="25" t="inlineStr">
        <is>
          <t>Consumer Retail</t>
        </is>
      </c>
      <c r="O238" s="30" t="inlineStr">
        <is>
          <t>Other Apparel Retail</t>
        </is>
      </c>
      <c r="P238" s="28" t="n">
        <v>95.1729999999999</v>
      </c>
      <c r="Q238" s="28" t="n">
        <v>4.18800218699063</v>
      </c>
      <c r="R238" s="28" t="n">
        <v>-11.295</v>
      </c>
      <c r="S238" s="28" t="n">
        <v>0.954760580333938</v>
      </c>
      <c r="T238" s="28" t="n">
        <v>21.6970937708027</v>
      </c>
      <c r="U238" s="28" t="n">
        <v>-2.57498107804963</v>
      </c>
    </row>
    <row r="239" ht="15" customHeight="1">
      <c r="A239" s="25" t="inlineStr">
        <is>
          <t>TYR-AU</t>
        </is>
      </c>
      <c r="B239" s="25" t="inlineStr">
        <is>
          <t>Tyro Payments Ltd.</t>
        </is>
      </c>
      <c r="C239" s="25" t="inlineStr">
        <is>
          <t>Public</t>
        </is>
      </c>
      <c r="D239" s="25" t="inlineStr">
        <is>
          <t>Australia</t>
        </is>
      </c>
      <c r="E239" s="26" t="n">
        <v>2003</v>
      </c>
      <c r="F239" s="27" t="n">
        <v>564</v>
      </c>
      <c r="G239" s="28" t="n">
        <v>485.604999999999</v>
      </c>
      <c r="H239" s="25" t="inlineStr">
        <is>
          <t>Pacific</t>
        </is>
      </c>
      <c r="I239" s="25" t="inlineStr">
        <is>
          <t>New South Wales (NSW)</t>
        </is>
      </c>
      <c r="J239" s="28" t="n">
        <v>547.561013495473</v>
      </c>
      <c r="K239" s="25" t="inlineStr">
        <is>
          <t>Tyro Payments Ltd. engages in the provision of merchant credit, debit and EFTPOS acquisition services. It operates through the Payments and Banking segments. The Payments segment provides electronic payment transactions from merchants. The Banking segment deals with banking services and loans to merchants. The company was founded by Peter Haig, Andrew Rothwell, and Paul Wood in 2003 and is headquartered in Sydney, Australia.</t>
        </is>
      </c>
      <c r="L239" s="25" t="inlineStr">
        <is>
          <t>Consumer Finance Services</t>
        </is>
      </c>
      <c r="M239" s="25" t="inlineStr">
        <is>
          <t>Specialty Finance</t>
        </is>
      </c>
      <c r="N239" s="25" t="inlineStr">
        <is>
          <t>Specialty Finance and Services</t>
        </is>
      </c>
      <c r="O239" s="30" t="inlineStr">
        <is>
          <t>Electronic Transaction Processing/Clearinghouses</t>
        </is>
      </c>
      <c r="P239" s="28" t="n">
        <v>180.631</v>
      </c>
      <c r="Q239" s="28" t="n">
        <v>71.0709968374665</v>
      </c>
      <c r="R239" s="28" t="n">
        <v>17.815</v>
      </c>
      <c r="S239" s="28" t="n">
        <v>14.6355577063663</v>
      </c>
      <c r="T239" s="28" t="n">
        <v>37.1971046426622</v>
      </c>
      <c r="U239" s="28" t="n">
        <v>3.66861955704739</v>
      </c>
    </row>
    <row r="240" ht="15" customHeight="1">
      <c r="A240" s="25" t="inlineStr">
        <is>
          <t>NWL-AU</t>
        </is>
      </c>
      <c r="B240" s="25" t="inlineStr">
        <is>
          <t>Netwealth Group Ltd.</t>
        </is>
      </c>
      <c r="C240" s="25" t="inlineStr">
        <is>
          <t>Public</t>
        </is>
      </c>
      <c r="D240" s="25" t="inlineStr">
        <is>
          <t>Australia</t>
        </is>
      </c>
      <c r="E240" s="26" t="n">
        <v>2017</v>
      </c>
      <c r="F240" s="27" t="n">
        <v>636</v>
      </c>
      <c r="G240" s="28" t="n">
        <v>316.408</v>
      </c>
      <c r="H240" s="25" t="inlineStr">
        <is>
          <t>Pacific</t>
        </is>
      </c>
      <c r="I240" s="25" t="inlineStr">
        <is>
          <t>Victoria (VIC)</t>
        </is>
      </c>
      <c r="J240" s="28" t="n">
        <v>257.318006341992</v>
      </c>
      <c r="K240" s="25" t="inlineStr">
        <is>
          <t>Netwealth Group Ltd. operates as a financial services and technology company. It offers a range of innovative portfolio administration, superannuation, retirement, investment and managed accounts solutions to investors and intermediaries including Financial Intermediaries and private client. The company was founded by Michael Heine in 1999 and is headquartered in Melbourne, Australia.</t>
        </is>
      </c>
      <c r="L240" s="25" t="inlineStr">
        <is>
          <t>Asset Management and Financial Advisory Services</t>
        </is>
      </c>
      <c r="M240" s="25" t="inlineStr">
        <is>
          <t>Investment Services</t>
        </is>
      </c>
      <c r="N240" s="25" t="inlineStr">
        <is>
          <t>Investment Services</t>
        </is>
      </c>
      <c r="O240" s="30" t="inlineStr">
        <is>
          <t>Alternative Investment Managers</t>
        </is>
      </c>
      <c r="P240" s="28" t="n">
        <v>192.119999999999</v>
      </c>
      <c r="Q240" s="28" t="n">
        <v>155.462001736772</v>
      </c>
      <c r="R240" s="28" t="n">
        <v>116.52</v>
      </c>
      <c r="S240" s="28" t="n">
        <v>49.133397385654</v>
      </c>
      <c r="T240" s="28" t="n">
        <v>60.7190715784683</v>
      </c>
      <c r="U240" s="28" t="n">
        <v>36.825870395186</v>
      </c>
    </row>
    <row r="241" ht="15" customHeight="1">
      <c r="A241" s="25" t="inlineStr">
        <is>
          <t>NIC-AU</t>
        </is>
      </c>
      <c r="B241" s="25" t="inlineStr">
        <is>
          <t>Nickel Industries Ltd.</t>
        </is>
      </c>
      <c r="C241" s="25" t="inlineStr">
        <is>
          <t>Public</t>
        </is>
      </c>
      <c r="D241" s="25" t="inlineStr">
        <is>
          <t>Australia</t>
        </is>
      </c>
      <c r="E241" s="26" t="n">
        <v>2007</v>
      </c>
      <c r="F241" s="27" t="inlineStr">
        <is>
          <t>-</t>
        </is>
      </c>
      <c r="G241" s="28" t="n">
        <v>2644.71684529137</v>
      </c>
      <c r="H241" s="25" t="inlineStr">
        <is>
          <t>Pacific</t>
        </is>
      </c>
      <c r="I241" s="25" t="inlineStr">
        <is>
          <t>New South Wales (NSW)</t>
        </is>
      </c>
      <c r="J241" s="28" t="n">
        <v>6292.89856927196</v>
      </c>
      <c r="K241" s="25" t="inlineStr">
        <is>
          <t>Nickel Industries Ltd. is an exploration and development company, which focuses on nickel mining projects. The firm operates through the Tsingshan collaboration and Hengjaya Mine projects. Its operations include Hengjaya Nickel, Ranger Nickel, Angel Nickel, Oracle Nickel and Hengjaya Mine. The company was founded on 12th September, 2007 and is headquartered in Sydney, Australia.</t>
        </is>
      </c>
      <c r="L241" s="25" t="inlineStr">
        <is>
          <t>Base Metal Mining</t>
        </is>
      </c>
      <c r="M241" s="25" t="inlineStr">
        <is>
          <t>Metal Ore Mining</t>
        </is>
      </c>
      <c r="N241" s="25" t="inlineStr">
        <is>
          <t>Mining and Mineral Products</t>
        </is>
      </c>
      <c r="O241" s="30" t="inlineStr">
        <is>
          <t>Non-Ferrous Metal Ore Mining</t>
        </is>
      </c>
      <c r="P241" s="28" t="n">
        <v>281.017906981048</v>
      </c>
      <c r="Q241" s="28" t="n">
        <v>439.03299681915</v>
      </c>
      <c r="R241" s="28" t="n">
        <v>-255.593354198152</v>
      </c>
      <c r="S241" s="28" t="n">
        <v>16.6003778734063</v>
      </c>
      <c r="T241" s="28" t="n">
        <v>10.6256330420162</v>
      </c>
      <c r="U241" s="28" t="n">
        <v>-9.664299399506881</v>
      </c>
    </row>
    <row r="242" ht="15" customHeight="1">
      <c r="A242" s="25" t="inlineStr">
        <is>
          <t>RGN-AU</t>
        </is>
      </c>
      <c r="B242" s="25" t="inlineStr">
        <is>
          <t>Region Group</t>
        </is>
      </c>
      <c r="C242" s="25" t="inlineStr">
        <is>
          <t>Public</t>
        </is>
      </c>
      <c r="D242" s="25" t="inlineStr">
        <is>
          <t>Australia</t>
        </is>
      </c>
      <c r="E242" s="26" t="inlineStr">
        <is>
          <t>-</t>
        </is>
      </c>
      <c r="F242" s="27" t="inlineStr">
        <is>
          <t>-</t>
        </is>
      </c>
      <c r="G242" s="28" t="n">
        <v>376.099999999999</v>
      </c>
      <c r="H242" s="25" t="inlineStr">
        <is>
          <t>Pacific</t>
        </is>
      </c>
      <c r="I242" s="25" t="inlineStr">
        <is>
          <t>New South Wales (NSW)</t>
        </is>
      </c>
      <c r="J242" s="28" t="n">
        <v>4590.90011314971</v>
      </c>
      <c r="K242" s="25" t="inlineStr">
        <is>
          <t>Region Group engages in the business of investing in and managing shopping centres. It focuses on the non-discretionary retail sector primarily convenience retailers and grocery outlets; and is anchored by long-term leases to quality tenants. The company was founded on June 4, 2012 and is headquartered in Sydney, Australia.</t>
        </is>
      </c>
      <c r="L242" s="25" t="inlineStr">
        <is>
          <t>Equity REITs</t>
        </is>
      </c>
      <c r="M242" s="25" t="inlineStr">
        <is>
          <t>Real Estate Investment Trusts (REITs)</t>
        </is>
      </c>
      <c r="N242" s="25" t="inlineStr">
        <is>
          <t>Real Estate</t>
        </is>
      </c>
      <c r="O242" s="30" t="inlineStr">
        <is>
          <t>Equity REITs</t>
        </is>
      </c>
      <c r="P242" s="28" t="n">
        <v>238.799999999999</v>
      </c>
      <c r="Q242" s="28" t="n">
        <v>207.599994748673</v>
      </c>
      <c r="R242" s="28" t="n">
        <v>212.5</v>
      </c>
      <c r="S242" s="28" t="n">
        <v>55.1980856155278</v>
      </c>
      <c r="T242" s="28" t="n">
        <v>63.4937516617921</v>
      </c>
      <c r="U242" s="28" t="n">
        <v>56.5009306035629</v>
      </c>
    </row>
    <row r="243" ht="15" customHeight="1">
      <c r="A243" s="25" t="inlineStr">
        <is>
          <t>BDM-AU</t>
        </is>
      </c>
      <c r="B243" s="25" t="inlineStr">
        <is>
          <t>Burgundy Diamond Mines Ltd.</t>
        </is>
      </c>
      <c r="C243" s="25" t="inlineStr">
        <is>
          <t>Public</t>
        </is>
      </c>
      <c r="D243" s="25" t="inlineStr">
        <is>
          <t>Australia</t>
        </is>
      </c>
      <c r="E243" s="26" t="n">
        <v>2012</v>
      </c>
      <c r="F243" s="27" t="inlineStr">
        <is>
          <t>-</t>
        </is>
      </c>
      <c r="G243" s="28" t="n">
        <v>670.281432893193</v>
      </c>
      <c r="H243" s="25" t="inlineStr">
        <is>
          <t>Pacific</t>
        </is>
      </c>
      <c r="I243" s="25" t="inlineStr">
        <is>
          <t>Western Australia (WA)</t>
        </is>
      </c>
      <c r="J243" s="28" t="n">
        <v>745.8386266309</v>
      </c>
      <c r="K243" s="25" t="inlineStr">
        <is>
          <t>Burgundy Diamond Mines Ltd. engages in mining, production, cutting and polishing, and sale of diamonds. It operates through the Rough Diamond and Polished Diamond segments. The Rough Diamond segment represents the mining, sales, and marketing of rough diamonds. The Polished Diamond segment refers to the manufacturing, sales, and marketing of polished diamonds. The company was founded on August 22, 2012 and is headquartered in Perth, Australia.</t>
        </is>
      </c>
      <c r="L243" s="25" t="inlineStr">
        <is>
          <t>Nonmetallic Mineral Mining</t>
        </is>
      </c>
      <c r="M243" s="25" t="inlineStr">
        <is>
          <t>Other Mining</t>
        </is>
      </c>
      <c r="N243" s="25" t="inlineStr">
        <is>
          <t>Mining and Mineral Products</t>
        </is>
      </c>
      <c r="O243" s="30" t="inlineStr">
        <is>
          <t>Diamond Mining</t>
        </is>
      </c>
      <c r="P243" s="28" t="n">
        <v>108.417377818672</v>
      </c>
      <c r="Q243" s="28" t="n">
        <v>143.473522623196</v>
      </c>
      <c r="R243" s="28" t="n">
        <v>-147.448664762706</v>
      </c>
      <c r="S243" s="28" t="n">
        <v>21.4049685638334</v>
      </c>
      <c r="T243" s="28" t="n">
        <v>16.1749039281457</v>
      </c>
      <c r="U243" s="28" t="n">
        <v>-21.9980231477188</v>
      </c>
    </row>
    <row r="244" ht="15" customHeight="1">
      <c r="A244" s="25" t="inlineStr">
        <is>
          <t>CIP-AU</t>
        </is>
      </c>
      <c r="B244" s="25" t="inlineStr">
        <is>
          <t>Centuria Industrial REIT</t>
        </is>
      </c>
      <c r="C244" s="25" t="inlineStr">
        <is>
          <t>Public</t>
        </is>
      </c>
      <c r="D244" s="25" t="inlineStr">
        <is>
          <t>Australia</t>
        </is>
      </c>
      <c r="E244" s="26" t="n">
        <v>2002</v>
      </c>
      <c r="F244" s="27" t="inlineStr">
        <is>
          <t>-</t>
        </is>
      </c>
      <c r="G244" s="28" t="n">
        <v>234.679999999999</v>
      </c>
      <c r="H244" s="25" t="inlineStr">
        <is>
          <t>Pacific</t>
        </is>
      </c>
      <c r="I244" s="25" t="inlineStr">
        <is>
          <t>New South Wales (NSW)</t>
        </is>
      </c>
      <c r="J244" s="28" t="n">
        <v>3928.42009682187</v>
      </c>
      <c r="K244" s="25" t="inlineStr">
        <is>
          <t>Centuria Industrial REIT operates as a property investment and fund management, which engages in acquiring and managing industrial properties within Australia. The company was founded in March 2002 and is headquartered in Sydney, Australia.</t>
        </is>
      </c>
      <c r="L244" s="25" t="inlineStr">
        <is>
          <t>Equity REITs</t>
        </is>
      </c>
      <c r="M244" s="25" t="inlineStr">
        <is>
          <t>Real Estate Investment Trusts (REITs)</t>
        </is>
      </c>
      <c r="N244" s="25" t="inlineStr">
        <is>
          <t>Real Estate</t>
        </is>
      </c>
      <c r="O244" s="30" t="inlineStr">
        <is>
          <t>Equity REITs</t>
        </is>
      </c>
      <c r="P244" s="28" t="n">
        <v>153.344999999999</v>
      </c>
      <c r="Q244" s="28" t="n">
        <v>141.176999704258</v>
      </c>
      <c r="R244" s="28" t="n">
        <v>133.060999999999</v>
      </c>
      <c r="S244" s="28" t="n">
        <v>60.1572353843532</v>
      </c>
      <c r="T244" s="28" t="n">
        <v>65.34216805863301</v>
      </c>
      <c r="U244" s="28" t="n">
        <v>56.698909152889</v>
      </c>
    </row>
    <row r="245" ht="15" customHeight="1">
      <c r="A245" s="25" t="inlineStr">
        <is>
          <t>SHJ-AU</t>
        </is>
      </c>
      <c r="B245" s="25" t="inlineStr">
        <is>
          <t>Shine Justice Ltd.</t>
        </is>
      </c>
      <c r="C245" s="25" t="inlineStr">
        <is>
          <t>Public</t>
        </is>
      </c>
      <c r="D245" s="25" t="inlineStr">
        <is>
          <t>Australia</t>
        </is>
      </c>
      <c r="E245" s="26" t="n">
        <v>2013</v>
      </c>
      <c r="F245" s="27" t="n">
        <v>958</v>
      </c>
      <c r="G245" s="28" t="n">
        <v>204.417</v>
      </c>
      <c r="H245" s="25" t="inlineStr">
        <is>
          <t>Pacific</t>
        </is>
      </c>
      <c r="I245" s="25" t="inlineStr">
        <is>
          <t>Queensland (QLD)</t>
        </is>
      </c>
      <c r="J245" s="28" t="n">
        <v>592.59201460533</v>
      </c>
      <c r="K245" s="25" t="inlineStr">
        <is>
          <t>Shine Justice Ltd. is a holding company, which engages in damages-based plaintiff litigation legal services. It operates through the following segments: Personal Injury, New Practice Areas, and Other. The company was founded in 1976 and is headquartered in Brisbane, Australia.</t>
        </is>
      </c>
      <c r="L245" s="25" t="inlineStr">
        <is>
          <t>Personal Services</t>
        </is>
      </c>
      <c r="M245" s="25" t="inlineStr">
        <is>
          <t>Personal Professional Services</t>
        </is>
      </c>
      <c r="N245" s="25" t="inlineStr">
        <is>
          <t>Household Services</t>
        </is>
      </c>
      <c r="O245" s="30" t="inlineStr">
        <is>
          <t>Other Personal Services</t>
        </is>
      </c>
      <c r="P245" s="28" t="inlineStr">
        <is>
          <t>-</t>
        </is>
      </c>
      <c r="Q245" s="28" t="n">
        <v>47.1770043431205</v>
      </c>
      <c r="R245" s="28" t="n">
        <v>0.572</v>
      </c>
      <c r="S245" s="28" t="n">
        <v>23.0788046004002</v>
      </c>
      <c r="T245" s="28" t="inlineStr">
        <is>
          <t>-</t>
        </is>
      </c>
      <c r="U245" s="28" t="n">
        <v>0.279820171512154</v>
      </c>
    </row>
    <row r="246" ht="15" customHeight="1">
      <c r="A246" s="25" t="inlineStr">
        <is>
          <t>ARF-AU</t>
        </is>
      </c>
      <c r="B246" s="25" t="inlineStr">
        <is>
          <t>Arena REIT</t>
        </is>
      </c>
      <c r="C246" s="25" t="inlineStr">
        <is>
          <t>Public</t>
        </is>
      </c>
      <c r="D246" s="25" t="inlineStr">
        <is>
          <t>Australia</t>
        </is>
      </c>
      <c r="E246" s="26" t="n">
        <v>2014</v>
      </c>
      <c r="F246" s="27" t="inlineStr">
        <is>
          <t>-</t>
        </is>
      </c>
      <c r="G246" s="28" t="n">
        <v>110.052</v>
      </c>
      <c r="H246" s="25" t="inlineStr">
        <is>
          <t>Pacific</t>
        </is>
      </c>
      <c r="I246" s="25" t="inlineStr">
        <is>
          <t>Victoria (VIC)</t>
        </is>
      </c>
      <c r="J246" s="28" t="n">
        <v>1858.66204580954</v>
      </c>
      <c r="K246" s="25" t="inlineStr">
        <is>
          <t>Arena REIT operates as a real estate investment trust. Its investment objective is to generate an attractive and predictable distribution to investors, with earnings growth prospects over the medium to long term. The company was founded in 2003 and is headquartered in Melbourne, Australia.</t>
        </is>
      </c>
      <c r="L246" s="25" t="inlineStr">
        <is>
          <t>Equity REITs</t>
        </is>
      </c>
      <c r="M246" s="25" t="inlineStr">
        <is>
          <t>Real Estate Investment Trusts (REITs)</t>
        </is>
      </c>
      <c r="N246" s="25" t="inlineStr">
        <is>
          <t>Real Estate</t>
        </is>
      </c>
      <c r="O246" s="30" t="inlineStr">
        <is>
          <t>Equity REITs</t>
        </is>
      </c>
      <c r="P246" s="28" t="n">
        <v>109.289</v>
      </c>
      <c r="Q246" s="28" t="inlineStr">
        <is>
          <t>-</t>
        </is>
      </c>
      <c r="R246" s="28" t="n">
        <v>82.32899999999989</v>
      </c>
      <c r="S246" s="28" t="inlineStr">
        <is>
          <t>-</t>
        </is>
      </c>
      <c r="T246" s="28" t="n">
        <v>99.30669138225571</v>
      </c>
      <c r="U246" s="28" t="n">
        <v>74.8091811143823</v>
      </c>
    </row>
    <row r="247" ht="15" customHeight="1">
      <c r="A247" s="25" t="inlineStr">
        <is>
          <t>SDF-AU</t>
        </is>
      </c>
      <c r="B247" s="25" t="inlineStr">
        <is>
          <t>Steadfast Group Ltd. (Australia)</t>
        </is>
      </c>
      <c r="C247" s="25" t="inlineStr">
        <is>
          <t>Public</t>
        </is>
      </c>
      <c r="D247" s="25" t="inlineStr">
        <is>
          <t>Australia</t>
        </is>
      </c>
      <c r="E247" s="26" t="n">
        <v>1996</v>
      </c>
      <c r="F247" s="27" t="n">
        <v>86</v>
      </c>
      <c r="G247" s="28" t="n">
        <v>1822.79999999999</v>
      </c>
      <c r="H247" s="25" t="inlineStr">
        <is>
          <t>Pacific</t>
        </is>
      </c>
      <c r="I247" s="25" t="inlineStr">
        <is>
          <t>New South Wales (NSW)</t>
        </is>
      </c>
      <c r="J247" s="28" t="n">
        <v>6457.90015916475</v>
      </c>
      <c r="K247" s="25" t="inlineStr">
        <is>
          <t>Steadfast Group Ltd. operates as an insurance broker, which provides services to Steadfast Network Brokers. It also distributes insurance policies via insurance brokerages and underwriting agencies and provides related services. The company was founded by Robert Bernard Kelly on April 17, 1996, and is headquartered in Sydney, Australia.</t>
        </is>
      </c>
      <c r="L247" s="25" t="inlineStr">
        <is>
          <t>Insurance Brokerage</t>
        </is>
      </c>
      <c r="M247" s="25" t="inlineStr">
        <is>
          <t>Insurance</t>
        </is>
      </c>
      <c r="N247" s="25" t="inlineStr">
        <is>
          <t>Insurance</t>
        </is>
      </c>
      <c r="O247" s="30" t="inlineStr">
        <is>
          <t>Insurance Brokerage</t>
        </is>
      </c>
      <c r="P247" s="28" t="n">
        <v>1159.09999999999</v>
      </c>
      <c r="Q247" s="28" t="n">
        <v>488.69999301567</v>
      </c>
      <c r="R247" s="28" t="n">
        <v>334.899999999999</v>
      </c>
      <c r="S247" s="28" t="n">
        <v>26.8104015799868</v>
      </c>
      <c r="T247" s="28" t="n">
        <v>63.5889839806891</v>
      </c>
      <c r="U247" s="28" t="n">
        <v>18.3728330041694</v>
      </c>
    </row>
    <row r="248" ht="15" customHeight="1">
      <c r="A248" s="25" t="inlineStr">
        <is>
          <t>BAP-AU</t>
        </is>
      </c>
      <c r="B248" s="25" t="inlineStr">
        <is>
          <t>Bapcor Ltd.</t>
        </is>
      </c>
      <c r="C248" s="25" t="inlineStr">
        <is>
          <t>Public</t>
        </is>
      </c>
      <c r="D248" s="25" t="inlineStr">
        <is>
          <t>Australia</t>
        </is>
      </c>
      <c r="E248" s="26" t="n">
        <v>2011</v>
      </c>
      <c r="F248" s="27" t="n">
        <v>5100</v>
      </c>
      <c r="G248" s="28" t="n">
        <v>1975.76699999999</v>
      </c>
      <c r="H248" s="25" t="inlineStr">
        <is>
          <t>Pacific</t>
        </is>
      </c>
      <c r="I248" s="25" t="inlineStr">
        <is>
          <t>Victoria (VIC)</t>
        </is>
      </c>
      <c r="J248" s="28" t="n">
        <v>1895.7970467248</v>
      </c>
      <c r="K248" s="25" t="inlineStr">
        <is>
          <t>Bapcor Ltd. engages in the business of selling and distributing vehicle parts, accessories, automotive equipment, service, and solutions. It operates through the following segments: Trade, Specialist Wholesale, Retail, New Zealand (NZ), and Head Office. The Trade segment focuses on the automotive aftermarket parts distribution to independent and chain mechanic workshops. The Specialist Wholesale segment includes specialized wholesale distribution and network channel areas of the organization that focus on a specific automotive area. The Retail segment is involved in accessory stores that are positioned as the first-choice destination for both the everyday consumer and automotive enthusiast. The NZ segment provides parts and equipment solutions across New Zealand. The company was founded by Garry Johnson and Ron Burgoine in 1971 and is headquartered in Melbourne Airport, Australia.</t>
        </is>
      </c>
      <c r="L248" s="25" t="inlineStr">
        <is>
          <t>Motor Vehicles and Parts Sales and Rental</t>
        </is>
      </c>
      <c r="M248" s="25" t="inlineStr">
        <is>
          <t>Auto Retail</t>
        </is>
      </c>
      <c r="N248" s="25" t="inlineStr">
        <is>
          <t>Miscellaneous Retail</t>
        </is>
      </c>
      <c r="O248" s="30" t="inlineStr">
        <is>
          <t>Automotive Parts, Accessories and Tires Sales</t>
        </is>
      </c>
      <c r="P248" s="28" t="n">
        <v>342.311999999999</v>
      </c>
      <c r="Q248" s="28" t="n">
        <v>184.994992456547</v>
      </c>
      <c r="R248" s="28" t="n">
        <v>28.1389999999999</v>
      </c>
      <c r="S248" s="28" t="n">
        <v>9.36319920314491</v>
      </c>
      <c r="T248" s="28" t="n">
        <v>17.3255247202732</v>
      </c>
      <c r="U248" s="28" t="n">
        <v>1.42420639680691</v>
      </c>
    </row>
    <row r="249" ht="15" customHeight="1">
      <c r="A249" s="25" t="inlineStr">
        <is>
          <t>WTC-AU</t>
        </is>
      </c>
      <c r="B249" s="25" t="inlineStr">
        <is>
          <t>Wisetech Global Ltd.</t>
        </is>
      </c>
      <c r="C249" s="25" t="inlineStr">
        <is>
          <t>Public</t>
        </is>
      </c>
      <c r="D249" s="25" t="inlineStr">
        <is>
          <t>Australia</t>
        </is>
      </c>
      <c r="E249" s="26" t="n">
        <v>1994</v>
      </c>
      <c r="F249" s="27" t="n">
        <v>3600</v>
      </c>
      <c r="G249" s="28" t="n">
        <v>1202.38224041171</v>
      </c>
      <c r="H249" s="25" t="inlineStr">
        <is>
          <t>Pacific</t>
        </is>
      </c>
      <c r="I249" s="25" t="inlineStr">
        <is>
          <t>New South Wales (NSW)</t>
        </is>
      </c>
      <c r="J249" s="28" t="n">
        <v>3409.0181659829</v>
      </c>
      <c r="K249" s="25" t="inlineStr">
        <is>
          <t>Wisetech Global Ltd. engages in the provision of software to the logistics services industry. The company was founded by Maree McDonald Isaacs and Richard John White on August 2, 1994 and is headquartered in Sydney, Australia.</t>
        </is>
      </c>
      <c r="L249" s="25" t="inlineStr">
        <is>
          <t>Enterprise Management Software</t>
        </is>
      </c>
      <c r="M249" s="25" t="inlineStr">
        <is>
          <t>Software</t>
        </is>
      </c>
      <c r="N249" s="25" t="inlineStr">
        <is>
          <t>Software and Consulting</t>
        </is>
      </c>
      <c r="O249" s="30" t="inlineStr">
        <is>
          <t>Enterprise Resource Planning Software</t>
        </is>
      </c>
      <c r="P249" s="28" t="n">
        <v>933.401906162679</v>
      </c>
      <c r="Q249" s="28" t="n">
        <v>643.267550216164</v>
      </c>
      <c r="R249" s="28" t="n">
        <v>309.898697381058</v>
      </c>
      <c r="S249" s="28" t="n">
        <v>53.4994220955673</v>
      </c>
      <c r="T249" s="28" t="n">
        <v>77.62938230383971</v>
      </c>
      <c r="U249" s="28" t="n">
        <v>25.7737254398357</v>
      </c>
    </row>
    <row r="250" ht="15" customHeight="1">
      <c r="A250" s="25" t="inlineStr">
        <is>
          <t>CBO-AU</t>
        </is>
      </c>
      <c r="B250" s="25" t="inlineStr">
        <is>
          <t>Cobram Estate Olives Ltd.</t>
        </is>
      </c>
      <c r="C250" s="25" t="inlineStr">
        <is>
          <t>Public</t>
        </is>
      </c>
      <c r="D250" s="25" t="inlineStr">
        <is>
          <t>Australia</t>
        </is>
      </c>
      <c r="E250" s="26" t="n">
        <v>1998</v>
      </c>
      <c r="F250" s="27" t="inlineStr">
        <is>
          <t>-</t>
        </is>
      </c>
      <c r="G250" s="28" t="n">
        <v>241.658999999999</v>
      </c>
      <c r="H250" s="25" t="inlineStr">
        <is>
          <t>Pacific</t>
        </is>
      </c>
      <c r="I250" s="25" t="inlineStr">
        <is>
          <t>Victoria (VIC)</t>
        </is>
      </c>
      <c r="J250" s="28" t="n">
        <v>821.193020239548</v>
      </c>
      <c r="K250" s="25" t="inlineStr">
        <is>
          <t>Cobram Estate Olives Ltd. engages in farming olives and producing olive oil. It offers bulk extra virgin, vinegars, foodservice and private label products. It operates through the following segments: Olive Oil Australian Operations, Olive Oil USA Operations, Boundary Bend Wellness, and Eliminations and Corporate. The company was founded by Robert McGavin and Paul Riordan in 1998 and is headquartered in Lara, Australia.</t>
        </is>
      </c>
      <c r="L250" s="25" t="inlineStr">
        <is>
          <t>Food Production</t>
        </is>
      </c>
      <c r="M250" s="25" t="inlineStr">
        <is>
          <t>Food and Beverage Production</t>
        </is>
      </c>
      <c r="N250" s="25" t="inlineStr">
        <is>
          <t>Food and Tobacco Production</t>
        </is>
      </c>
      <c r="O250" s="30" t="inlineStr">
        <is>
          <t>Other Food Production</t>
        </is>
      </c>
      <c r="P250" s="28" t="n">
        <v>46.2269999999999</v>
      </c>
      <c r="Q250" s="28" t="n">
        <v>24.2740082811527</v>
      </c>
      <c r="R250" s="28" t="n">
        <v>49.632</v>
      </c>
      <c r="S250" s="28" t="n">
        <v>10.0447324535813</v>
      </c>
      <c r="T250" s="28" t="n">
        <v>19.1290206447929</v>
      </c>
      <c r="U250" s="28" t="n">
        <v>20.5380308616687</v>
      </c>
    </row>
    <row r="251" ht="15" customHeight="1">
      <c r="A251" s="25" t="inlineStr">
        <is>
          <t>MTO-AU</t>
        </is>
      </c>
      <c r="B251" s="25" t="inlineStr">
        <is>
          <t>Motorcycle Holdings Ltd.</t>
        </is>
      </c>
      <c r="C251" s="25" t="inlineStr">
        <is>
          <t>Public</t>
        </is>
      </c>
      <c r="D251" s="25" t="inlineStr">
        <is>
          <t>Australia</t>
        </is>
      </c>
      <c r="E251" s="26" t="n">
        <v>1989</v>
      </c>
      <c r="F251" s="27" t="inlineStr">
        <is>
          <t>-</t>
        </is>
      </c>
      <c r="G251" s="28" t="n">
        <v>649.9930000000001</v>
      </c>
      <c r="H251" s="25" t="inlineStr">
        <is>
          <t>Pacific</t>
        </is>
      </c>
      <c r="I251" s="25" t="inlineStr">
        <is>
          <t>Queensland (QLD)</t>
        </is>
      </c>
      <c r="J251" s="28" t="n">
        <v>428.886010570547</v>
      </c>
      <c r="K251" s="25" t="inlineStr">
        <is>
          <t>Motorcycle Holdings Ltd. engages in the ownership and operation of motorcycle dealerships. The firm also owns and manages a rider training school and a motorcycle repair business which performs smash repair work for insurers. It operates through Motorcycle Retailing and Motorcycle and Accessories Wholesaling segments. The Motorcycle Retailing segment includes the sale of new and used motorcycles, parts, servicing, accessories, and mechanical protection plan contracts. The Motorcycle and Accessories Wholesaling segment imports and distributes a diversified range of motorcycles, ATVs, scooters, and motorcycle parts and accessories to wholesale customers in Australia and New Zealand including the group’s own retail outlets. The company was founded by David Ahmet in 1989 and is headquartered in Slacks Creek, Australia.</t>
        </is>
      </c>
      <c r="L251" s="25" t="inlineStr">
        <is>
          <t>Motor Vehicle Sales</t>
        </is>
      </c>
      <c r="M251" s="25" t="inlineStr">
        <is>
          <t>Auto Retail</t>
        </is>
      </c>
      <c r="N251" s="25" t="inlineStr">
        <is>
          <t>Miscellaneous Retail</t>
        </is>
      </c>
      <c r="O251" s="30" t="inlineStr">
        <is>
          <t>Other Motor Vehicle Sales</t>
        </is>
      </c>
      <c r="P251" s="28" t="n">
        <v>66.6230000000001</v>
      </c>
      <c r="Q251" s="28" t="n">
        <v>53.2800013655734</v>
      </c>
      <c r="R251" s="28" t="n">
        <v>18.0219999999999</v>
      </c>
      <c r="S251" s="28" t="n">
        <v>8.19701135242995</v>
      </c>
      <c r="T251" s="28" t="n">
        <v>10.2498026901828</v>
      </c>
      <c r="U251" s="28" t="n">
        <v>2.77264524387186</v>
      </c>
    </row>
    <row r="252" ht="15" customHeight="1">
      <c r="A252" s="25" t="inlineStr">
        <is>
          <t>DXI-AU</t>
        </is>
      </c>
      <c r="B252" s="25" t="inlineStr">
        <is>
          <t>Dexus Industria REIT</t>
        </is>
      </c>
      <c r="C252" s="25" t="inlineStr">
        <is>
          <t>Public</t>
        </is>
      </c>
      <c r="D252" s="25" t="inlineStr">
        <is>
          <t>Australia</t>
        </is>
      </c>
      <c r="E252" s="26" t="n">
        <v>2013</v>
      </c>
      <c r="F252" s="27" t="inlineStr">
        <is>
          <t>-</t>
        </is>
      </c>
      <c r="G252" s="28" t="n">
        <v>75.095</v>
      </c>
      <c r="H252" s="25" t="inlineStr">
        <is>
          <t>Pacific</t>
        </is>
      </c>
      <c r="I252" s="25" t="inlineStr">
        <is>
          <t>New South Wales (NSW)</t>
        </is>
      </c>
      <c r="J252" s="28" t="n">
        <v>1460.54003599722</v>
      </c>
      <c r="K252" s="25" t="inlineStr">
        <is>
          <t>Dexus Industria REIT is an Australian real estate investment trust, which engages in interests in a workspace focused portfolio of several established, industrial, technology park and business park assets. It operates through the Direct Investments and Joint Ventures segments. It also provides investors with stable cash returns and the potential for income and capital growth by investing in workspace focused real estate. The company was founded in October 2013 and is headquartered in Sydney, Australia.</t>
        </is>
      </c>
      <c r="L252" s="25" t="inlineStr">
        <is>
          <t>Equity REITs</t>
        </is>
      </c>
      <c r="M252" s="25" t="inlineStr">
        <is>
          <t>Real Estate Investment Trusts (REITs)</t>
        </is>
      </c>
      <c r="N252" s="25" t="inlineStr">
        <is>
          <t>Real Estate</t>
        </is>
      </c>
      <c r="O252" s="30" t="inlineStr">
        <is>
          <t>Equity REITs</t>
        </is>
      </c>
      <c r="P252" s="28" t="n">
        <v>55.2749999999999</v>
      </c>
      <c r="Q252" s="28" t="n">
        <v>47.3380065213755</v>
      </c>
      <c r="R252" s="28" t="n">
        <v>84.1929999999999</v>
      </c>
      <c r="S252" s="28" t="n">
        <v>63.0374858512551</v>
      </c>
      <c r="T252" s="28" t="n">
        <v>73.60676476463151</v>
      </c>
      <c r="U252" s="28" t="n">
        <v>112.115320593914</v>
      </c>
    </row>
    <row r="253" ht="15" customHeight="1">
      <c r="A253" s="25" t="inlineStr">
        <is>
          <t>LFG-AU</t>
        </is>
      </c>
      <c r="B253" s="25" t="inlineStr">
        <is>
          <t>Liberty Financial Group Ltd. (Australia)</t>
        </is>
      </c>
      <c r="C253" s="25" t="inlineStr">
        <is>
          <t>Public</t>
        </is>
      </c>
      <c r="D253" s="25" t="inlineStr">
        <is>
          <t>Australia</t>
        </is>
      </c>
      <c r="E253" s="26" t="n">
        <v>2007</v>
      </c>
      <c r="F253" s="27" t="inlineStr">
        <is>
          <t>-</t>
        </is>
      </c>
      <c r="G253" s="28" t="n">
        <v>1492.738</v>
      </c>
      <c r="H253" s="25" t="inlineStr">
        <is>
          <t>Pacific</t>
        </is>
      </c>
      <c r="I253" s="25" t="inlineStr">
        <is>
          <t>Victoria (VIC)</t>
        </is>
      </c>
      <c r="J253" s="28" t="n">
        <v>16242.6464003246</v>
      </c>
      <c r="K253" s="25" t="inlineStr">
        <is>
          <t>Liberty Financial Group Ltd. engages in financial services industry, which offers lending, finance and insurance brokering, receivables servicing, consumer insurance underwriting, real estate, and funds management. It operates through the following segments: Residential Finance, Secured Finance, Financial Services, and Corporate. The Residential Finance segment provides finance in prime and custom residential loans. The Secured Finance segment provides motor finance and commercial finance. The Financial Services segment provides personal loans, SME lending, broker network and aggregators, insurance, and investments. The company was founded in 1997 and is headquartered in Melbourne, Australia.</t>
        </is>
      </c>
      <c r="L253" s="25" t="inlineStr">
        <is>
          <t>Commercial Finance Services</t>
        </is>
      </c>
      <c r="M253" s="25" t="inlineStr">
        <is>
          <t>Specialty Finance</t>
        </is>
      </c>
      <c r="N253" s="25" t="inlineStr">
        <is>
          <t>Specialty Finance and Services</t>
        </is>
      </c>
      <c r="O253" s="30" t="inlineStr">
        <is>
          <t>Other Commercial Finance</t>
        </is>
      </c>
      <c r="P253" s="28" t="n">
        <v>1229.154</v>
      </c>
      <c r="Q253" s="28" t="n">
        <v>1092.13699092362</v>
      </c>
      <c r="R253" s="28" t="n">
        <v>133.970999999999</v>
      </c>
      <c r="S253" s="28" t="n">
        <v>73.16334145710771</v>
      </c>
      <c r="T253" s="28" t="n">
        <v>82.34224626156769</v>
      </c>
      <c r="U253" s="28" t="n">
        <v>8.97485024163651</v>
      </c>
    </row>
    <row r="254" ht="15" customHeight="1">
      <c r="A254" s="25" t="inlineStr">
        <is>
          <t>ORA-AU</t>
        </is>
      </c>
      <c r="B254" s="25" t="inlineStr">
        <is>
          <t>Orora Ltd.</t>
        </is>
      </c>
      <c r="C254" s="25" t="inlineStr">
        <is>
          <t>Public</t>
        </is>
      </c>
      <c r="D254" s="25" t="inlineStr">
        <is>
          <t>Australia</t>
        </is>
      </c>
      <c r="E254" s="26" t="n">
        <v>1949</v>
      </c>
      <c r="F254" s="27" t="n">
        <v>4300</v>
      </c>
      <c r="G254" s="28" t="n">
        <v>2090.2</v>
      </c>
      <c r="H254" s="25" t="inlineStr">
        <is>
          <t>Pacific</t>
        </is>
      </c>
      <c r="I254" s="25" t="inlineStr">
        <is>
          <t>Victoria (VIC)</t>
        </is>
      </c>
      <c r="J254" s="28" t="n">
        <v>4916.800121182</v>
      </c>
      <c r="K254" s="25" t="inlineStr">
        <is>
          <t>Orora Ltd. engages in the manufacturing and distribution of fiber, glass and aluminum beverage cans. It operates through the Orora Australasia and Orora North America segments. The Orora Australasia segment focuses on the manufacture of fiber and beverage packaging products within Australia and New Zealand. The Orora North America segment refers to the purchasing, warehousing, selling and delivering a range of packaging and other related materials. The company was founded in 1949 and is headquartered in Hawthorn, Australia.</t>
        </is>
      </c>
      <c r="L254" s="25" t="inlineStr">
        <is>
          <t>Other Containers and Packaging Products</t>
        </is>
      </c>
      <c r="M254" s="25" t="inlineStr">
        <is>
          <t>Containers and Packaging</t>
        </is>
      </c>
      <c r="N254" s="25" t="inlineStr">
        <is>
          <t>Manufactured Products</t>
        </is>
      </c>
      <c r="O254" s="30" t="inlineStr">
        <is>
          <t>Glass Container Manufacturing</t>
        </is>
      </c>
      <c r="P254" s="28" t="n">
        <v>481.299999999999</v>
      </c>
      <c r="Q254" s="28" t="n">
        <v>400.599993273176</v>
      </c>
      <c r="R254" s="28" t="n">
        <v>66.1999999999999</v>
      </c>
      <c r="S254" s="28" t="n">
        <v>19.1656300832456</v>
      </c>
      <c r="T254" s="28" t="n">
        <v>23.0265046407042</v>
      </c>
      <c r="U254" s="28" t="n">
        <v>3.16716103722132</v>
      </c>
    </row>
    <row r="255" ht="15" customHeight="1">
      <c r="A255" s="25" t="inlineStr">
        <is>
          <t>HPI-AU</t>
        </is>
      </c>
      <c r="B255" s="25" t="inlineStr">
        <is>
          <t>Hotel Property Investments Ltd.</t>
        </is>
      </c>
      <c r="C255" s="25" t="inlineStr">
        <is>
          <t>Public</t>
        </is>
      </c>
      <c r="D255" s="25" t="inlineStr">
        <is>
          <t>Australia</t>
        </is>
      </c>
      <c r="E255" s="26" t="n">
        <v>1981</v>
      </c>
      <c r="F255" s="27" t="inlineStr">
        <is>
          <t>-</t>
        </is>
      </c>
      <c r="G255" s="28" t="n">
        <v>82.3599999999999</v>
      </c>
      <c r="H255" s="25" t="inlineStr">
        <is>
          <t>Pacific</t>
        </is>
      </c>
      <c r="I255" s="25" t="inlineStr">
        <is>
          <t>Victoria (VIC)</t>
        </is>
      </c>
      <c r="J255" s="28" t="n">
        <v>1288.80899025166</v>
      </c>
      <c r="K255" s="25" t="inlineStr">
        <is>
          <t>Hotel Property Investments Ltd. owns a portfolio of freehold properties, comprising pubs along with associated specialty stores located on the pub sites. Its properties are located throughout Queensland and South Australia. The company was founded on June 22, 1981 and is headquartered in Southbank, Australia.</t>
        </is>
      </c>
      <c r="L255" s="25" t="inlineStr">
        <is>
          <t>Equity REITs</t>
        </is>
      </c>
      <c r="M255" s="25" t="inlineStr">
        <is>
          <t>Real Estate Investment Trusts (REITs)</t>
        </is>
      </c>
      <c r="N255" s="25" t="inlineStr">
        <is>
          <t>Real Estate</t>
        </is>
      </c>
      <c r="O255" s="30" t="inlineStr">
        <is>
          <t>Equity REITs</t>
        </is>
      </c>
      <c r="P255" s="28" t="n">
        <v>68.5949999999999</v>
      </c>
      <c r="Q255" s="28" t="n">
        <v>64.0140003609734</v>
      </c>
      <c r="R255" s="28" t="n">
        <v>35.995</v>
      </c>
      <c r="S255" s="28" t="n">
        <v>77.7246236036911</v>
      </c>
      <c r="T255" s="28" t="n">
        <v>83.2867897037397</v>
      </c>
      <c r="U255" s="28" t="n">
        <v>43.704468188441</v>
      </c>
    </row>
    <row r="256" ht="15" customHeight="1">
      <c r="A256" s="25" t="inlineStr">
        <is>
          <t>NSR-AU</t>
        </is>
      </c>
      <c r="B256" s="25" t="inlineStr">
        <is>
          <t>National Storage REIT</t>
        </is>
      </c>
      <c r="C256" s="25" t="inlineStr">
        <is>
          <t>Public</t>
        </is>
      </c>
      <c r="D256" s="25" t="inlineStr">
        <is>
          <t>Australia</t>
        </is>
      </c>
      <c r="E256" s="26" t="n">
        <v>2013</v>
      </c>
      <c r="F256" s="27" t="n">
        <v>679</v>
      </c>
      <c r="G256" s="28" t="n">
        <v>392.499999999999</v>
      </c>
      <c r="H256" s="25" t="inlineStr">
        <is>
          <t>Pacific</t>
        </is>
      </c>
      <c r="I256" s="25" t="inlineStr">
        <is>
          <t>Queensland (QLD)</t>
        </is>
      </c>
      <c r="J256" s="28" t="n">
        <v>5797.30014288327</v>
      </c>
      <c r="K256" s="25" t="inlineStr">
        <is>
          <t>National Storage REIT engages in providing self-storage and tailoring self-storage solutions to residential and commercial customers. It offers spans self-storage, business storage, records management, climate-controlled wine storage, vehicle storage, vehicle and trailer hire, packaging, insurance and other value-added services. The company was founded in December 2013 and is headquartered in Brisbane, Australia.</t>
        </is>
      </c>
      <c r="L256" s="25" t="inlineStr">
        <is>
          <t>Equity REITs</t>
        </is>
      </c>
      <c r="M256" s="25" t="inlineStr">
        <is>
          <t>Real Estate Investment Trusts (REITs)</t>
        </is>
      </c>
      <c r="N256" s="25" t="inlineStr">
        <is>
          <t>Real Estate</t>
        </is>
      </c>
      <c r="O256" s="30" t="inlineStr">
        <is>
          <t>Equity REITs</t>
        </is>
      </c>
      <c r="P256" s="28" t="n">
        <v>386.1</v>
      </c>
      <c r="Q256" s="28" t="n">
        <v>219.100000341083</v>
      </c>
      <c r="R256" s="28" t="n">
        <v>236.099999999999</v>
      </c>
      <c r="S256" s="28" t="n">
        <v>55.8216560509554</v>
      </c>
      <c r="T256" s="28" t="n">
        <v>98.3694267515924</v>
      </c>
      <c r="U256" s="28" t="n">
        <v>60.1528662420382</v>
      </c>
    </row>
    <row r="257" ht="15" customHeight="1">
      <c r="A257" s="25" t="inlineStr">
        <is>
          <t>GDI-AU</t>
        </is>
      </c>
      <c r="B257" s="25" t="inlineStr">
        <is>
          <t>GDI Property Group Ltd.</t>
        </is>
      </c>
      <c r="C257" s="25" t="inlineStr">
        <is>
          <t>Public</t>
        </is>
      </c>
      <c r="D257" s="25" t="inlineStr">
        <is>
          <t>Australia</t>
        </is>
      </c>
      <c r="E257" s="26" t="n">
        <v>2013</v>
      </c>
      <c r="F257" s="27" t="inlineStr">
        <is>
          <t>-</t>
        </is>
      </c>
      <c r="G257" s="28" t="n">
        <v>81.73399999999999</v>
      </c>
      <c r="H257" s="25" t="inlineStr">
        <is>
          <t>Pacific</t>
        </is>
      </c>
      <c r="I257" s="25" t="inlineStr">
        <is>
          <t>New South Wales (NSW)</t>
        </is>
      </c>
      <c r="J257" s="28" t="n">
        <v>1162.26902864588</v>
      </c>
      <c r="K257" s="25" t="inlineStr">
        <is>
          <t>GDI Property Group Ltd. operates as a property fund manager. It operates through Property Investment and Funds Management segments. The Property Investment segment is involved in investing and managing properties. The Funds Management segment focuses on establishing and managing property investment vehicles. The company was founded by Anthony Charles Veale in 1993 and is headquartered in Sydney, Australia.</t>
        </is>
      </c>
      <c r="L257" s="25" t="inlineStr">
        <is>
          <t>Equity REITs</t>
        </is>
      </c>
      <c r="M257" s="25" t="inlineStr">
        <is>
          <t>Real Estate Investment Trusts (REITs)</t>
        </is>
      </c>
      <c r="N257" s="25" t="inlineStr">
        <is>
          <t>Real Estate</t>
        </is>
      </c>
      <c r="O257" s="30" t="inlineStr">
        <is>
          <t>Equity REITs</t>
        </is>
      </c>
      <c r="P257" s="28" t="n">
        <v>54.7669999999999</v>
      </c>
      <c r="Q257" s="28" t="n">
        <v>61.8410030635859</v>
      </c>
      <c r="R257" s="28" t="n">
        <v>35.487</v>
      </c>
      <c r="S257" s="28" t="n">
        <v>75.66129150659459</v>
      </c>
      <c r="T257" s="28" t="n">
        <v>67.006386571072</v>
      </c>
      <c r="U257" s="28" t="n">
        <v>43.4176719602613</v>
      </c>
    </row>
    <row r="258" ht="15" customHeight="1">
      <c r="A258" s="25" t="inlineStr">
        <is>
          <t>SCG-AU</t>
        </is>
      </c>
      <c r="B258" s="25" t="inlineStr">
        <is>
          <t>Scentre Group</t>
        </is>
      </c>
      <c r="C258" s="25" t="inlineStr">
        <is>
          <t>Public</t>
        </is>
      </c>
      <c r="D258" s="25" t="inlineStr">
        <is>
          <t>Australia</t>
        </is>
      </c>
      <c r="E258" s="26" t="n">
        <v>1959</v>
      </c>
      <c r="F258" s="27" t="n">
        <v>2860</v>
      </c>
      <c r="G258" s="28" t="n">
        <v>2637.1</v>
      </c>
      <c r="H258" s="25" t="inlineStr">
        <is>
          <t>Pacific</t>
        </is>
      </c>
      <c r="I258" s="25" t="inlineStr">
        <is>
          <t>New South Wales (NSW)</t>
        </is>
      </c>
      <c r="J258" s="28" t="n">
        <v>36354.8988723343</v>
      </c>
      <c r="K258" s="25" t="inlineStr">
        <is>
          <t>Scentre Group engages in the business of owning, managing, leasing, and developing Westfield destinations in Australia and New Zealand. It operates under the Property Investment, and Property Management and Construction segments. The Property Investment segment includes net property income from shopping centers. The Property Management and Construction segment focuses on external fee income from third parties primarily property management and development fees, and associated business expenses. The company was founded in July 1959 and is headquartered in Sydney, Australia.</t>
        </is>
      </c>
      <c r="L258" s="25" t="inlineStr">
        <is>
          <t>Equity REITs</t>
        </is>
      </c>
      <c r="M258" s="25" t="inlineStr">
        <is>
          <t>Real Estate Investment Trusts (REITs)</t>
        </is>
      </c>
      <c r="N258" s="25" t="inlineStr">
        <is>
          <t>Real Estate</t>
        </is>
      </c>
      <c r="O258" s="30" t="inlineStr">
        <is>
          <t>Equity REITs</t>
        </is>
      </c>
      <c r="P258" s="28" t="n">
        <v>1840.99999999999</v>
      </c>
      <c r="Q258" s="28" t="inlineStr">
        <is>
          <t>-</t>
        </is>
      </c>
      <c r="R258" s="28" t="n">
        <v>1049.79999999999</v>
      </c>
      <c r="S258" s="28" t="inlineStr">
        <is>
          <t>-</t>
        </is>
      </c>
      <c r="T258" s="28" t="n">
        <v>69.8115353987335</v>
      </c>
      <c r="U258" s="28" t="n">
        <v>39.8088809677297</v>
      </c>
    </row>
    <row r="259" ht="15" customHeight="1">
      <c r="A259" s="25" t="inlineStr">
        <is>
          <t>RFF-AU</t>
        </is>
      </c>
      <c r="B259" s="25" t="inlineStr">
        <is>
          <t>Rural Funds Group</t>
        </is>
      </c>
      <c r="C259" s="25" t="inlineStr">
        <is>
          <t>Public</t>
        </is>
      </c>
      <c r="D259" s="25" t="inlineStr">
        <is>
          <t>Australia</t>
        </is>
      </c>
      <c r="E259" s="26" t="n">
        <v>1997</v>
      </c>
      <c r="F259" s="27" t="inlineStr">
        <is>
          <t>-</t>
        </is>
      </c>
      <c r="G259" s="28" t="n">
        <v>131.911999999999</v>
      </c>
      <c r="H259" s="25" t="inlineStr">
        <is>
          <t>Pacific</t>
        </is>
      </c>
      <c r="I259" s="25" t="inlineStr">
        <is>
          <t>ACT (ACT)</t>
        </is>
      </c>
      <c r="J259" s="28" t="n">
        <v>1913.97004717269</v>
      </c>
      <c r="K259" s="25" t="inlineStr">
        <is>
          <t>Rural Funds Group is a real estate investment trust, which holds and leases agricultural property and equipment. Its activities and assets include leasing of almond orchards, macadamia orchards, poultry property and infrastructure, vineyards, cattle properties, cotton property, agricultural plant and equipment, cattle and water rights.. The company was founded on December 19, 2013 and is headquartered in Canberra, Australia.</t>
        </is>
      </c>
      <c r="L259" s="25" t="inlineStr">
        <is>
          <t>Equity REITs</t>
        </is>
      </c>
      <c r="M259" s="25" t="inlineStr">
        <is>
          <t>Real Estate Investment Trusts (REITs)</t>
        </is>
      </c>
      <c r="N259" s="25" t="inlineStr">
        <is>
          <t>Real Estate</t>
        </is>
      </c>
      <c r="O259" s="30" t="inlineStr">
        <is>
          <t>Equity REITs</t>
        </is>
      </c>
      <c r="P259" s="28" t="n">
        <v>91.8989999999999</v>
      </c>
      <c r="Q259" s="28" t="n">
        <v>74.8449978349133</v>
      </c>
      <c r="R259" s="28" t="n">
        <v>26.0759999999999</v>
      </c>
      <c r="S259" s="28" t="n">
        <v>56.7385832979562</v>
      </c>
      <c r="T259" s="28" t="n">
        <v>69.6668991448845</v>
      </c>
      <c r="U259" s="28" t="n">
        <v>19.7677239371702</v>
      </c>
    </row>
    <row r="260" ht="15" customHeight="1">
      <c r="A260" s="25" t="inlineStr">
        <is>
          <t>SGF-AU</t>
        </is>
      </c>
      <c r="B260" s="25" t="inlineStr">
        <is>
          <t>SG Fleet Group Ltd.</t>
        </is>
      </c>
      <c r="C260" s="25" t="inlineStr">
        <is>
          <t>Public</t>
        </is>
      </c>
      <c r="D260" s="25" t="inlineStr">
        <is>
          <t>Australia</t>
        </is>
      </c>
      <c r="E260" s="26" t="n">
        <v>2014</v>
      </c>
      <c r="F260" s="27" t="inlineStr">
        <is>
          <t>-</t>
        </is>
      </c>
      <c r="G260" s="28" t="n">
        <v>737.669</v>
      </c>
      <c r="H260" s="25" t="inlineStr">
        <is>
          <t>Pacific</t>
        </is>
      </c>
      <c r="I260" s="25" t="inlineStr">
        <is>
          <t>New South Wales (NSW)</t>
        </is>
      </c>
      <c r="J260" s="28" t="n">
        <v>3342.23297471991</v>
      </c>
      <c r="K260" s="25" t="inlineStr">
        <is>
          <t>SG Fleet Group Ltd. engages in provision of fleet management, vehicle leasing and salary packaging services. It offers services to corporate and government customers and individuals. The company was founded in 1986 and is headquartered in Sydney, Australia.</t>
        </is>
      </c>
      <c r="L260" s="25" t="inlineStr">
        <is>
          <t>Motor Vehicle Sales</t>
        </is>
      </c>
      <c r="M260" s="25" t="inlineStr">
        <is>
          <t>Auto Retail</t>
        </is>
      </c>
      <c r="N260" s="25" t="inlineStr">
        <is>
          <t>Miscellaneous Retail</t>
        </is>
      </c>
      <c r="O260" s="30" t="inlineStr">
        <is>
          <t>Automobile Dealers</t>
        </is>
      </c>
      <c r="P260" s="28" t="n">
        <v>-121.832</v>
      </c>
      <c r="Q260" s="28" t="n">
        <v>55.7650002148094</v>
      </c>
      <c r="R260" s="28" t="n">
        <v>89.661</v>
      </c>
      <c r="S260" s="28" t="n">
        <v>7.55962362523029</v>
      </c>
      <c r="T260" s="28" t="n">
        <v>-16.5158085808134</v>
      </c>
      <c r="U260" s="28" t="n">
        <v>12.1546384625083</v>
      </c>
    </row>
    <row r="261" ht="15" customHeight="1">
      <c r="A261" s="25" t="inlineStr">
        <is>
          <t>OML-AU</t>
        </is>
      </c>
      <c r="B261" s="25" t="inlineStr">
        <is>
          <t>oOh!media Ltd.</t>
        </is>
      </c>
      <c r="C261" s="25" t="inlineStr">
        <is>
          <t>Public</t>
        </is>
      </c>
      <c r="D261" s="25" t="inlineStr">
        <is>
          <t>Australia</t>
        </is>
      </c>
      <c r="E261" s="26" t="n">
        <v>2014</v>
      </c>
      <c r="F261" s="27" t="n">
        <v>800</v>
      </c>
      <c r="G261" s="28" t="n">
        <v>635.63</v>
      </c>
      <c r="H261" s="25" t="inlineStr">
        <is>
          <t>Pacific</t>
        </is>
      </c>
      <c r="I261" s="25" t="inlineStr">
        <is>
          <t>New South Wales (NSW)</t>
        </is>
      </c>
      <c r="J261" s="28" t="n">
        <v>1793.71194436217</v>
      </c>
      <c r="K261" s="25" t="inlineStr">
        <is>
          <t>oOh!media Ltd. engages in providing a range of out-of-home advertising solutions. Its portfolio of location-based media solutions includes large format classic and digital roadside screens, large and small format classic and digital signs located in retail precincts, such as shopping centers, large and small format classic and digital signs in airport terminals and lounges, and classic and digital signs in high dwell time environments, such as cafes, pubs, universities, office buildings, gyms and sporting centers. The firm also offers online sites for students, flyers, small businesses and city-based audiences, and owns a native content production company and digital printing operations. The company was founded by Brendon Jon Cook in April 1989 and is headquartered in North Sydney, Australia.</t>
        </is>
      </c>
      <c r="L261" s="25" t="inlineStr">
        <is>
          <t>Marketing and Advertising Services</t>
        </is>
      </c>
      <c r="M261" s="25" t="inlineStr">
        <is>
          <t>Marketing and Printing Services</t>
        </is>
      </c>
      <c r="N261" s="25" t="inlineStr">
        <is>
          <t>Business Services</t>
        </is>
      </c>
      <c r="O261" s="30" t="inlineStr">
        <is>
          <t>Other Marketing and Advertising Services</t>
        </is>
      </c>
      <c r="P261" s="28" t="n">
        <v>140.226</v>
      </c>
      <c r="Q261" s="28" t="n">
        <v>284.658003156969</v>
      </c>
      <c r="R261" s="28" t="n">
        <v>36.5769999999999</v>
      </c>
      <c r="S261" s="28" t="n">
        <v>44.7836005223164</v>
      </c>
      <c r="T261" s="28" t="n">
        <v>22.0609474065101</v>
      </c>
      <c r="U261" s="28" t="n">
        <v>5.75444834258924</v>
      </c>
    </row>
    <row r="262" ht="15" customHeight="1">
      <c r="A262" s="25" t="inlineStr">
        <is>
          <t>CIA-AU</t>
        </is>
      </c>
      <c r="B262" s="25" t="inlineStr">
        <is>
          <t>Champion Iron Ltd.</t>
        </is>
      </c>
      <c r="C262" s="25" t="inlineStr">
        <is>
          <t>Public</t>
        </is>
      </c>
      <c r="D262" s="25" t="inlineStr">
        <is>
          <t>Australia</t>
        </is>
      </c>
      <c r="E262" s="26" t="n">
        <v>2006</v>
      </c>
      <c r="F262" s="27" t="inlineStr">
        <is>
          <t>-</t>
        </is>
      </c>
      <c r="G262" s="28" t="n">
        <v>1771.32389561687</v>
      </c>
      <c r="H262" s="25" t="inlineStr">
        <is>
          <t>Pacific</t>
        </is>
      </c>
      <c r="I262" s="25" t="inlineStr">
        <is>
          <t>New South Wales (NSW)</t>
        </is>
      </c>
      <c r="J262" s="28" t="n">
        <v>3479.28772869925</v>
      </c>
      <c r="K262" s="25" t="inlineStr">
        <is>
          <t>Champion Iron Ltd. engages in the production, exploration, and development of iron ore properties. It operates through the following segments: Iron Ore Concentrate, Exploration and Evaluation, and Corporate. Its portfolio includes Bloom Lake and Consolidated Fire Lake North. The company was founded on May 18, 2006 and is headquartered in Rozelle, Australia.</t>
        </is>
      </c>
      <c r="L262" s="25" t="inlineStr">
        <is>
          <t>Base Metal Mining</t>
        </is>
      </c>
      <c r="M262" s="25" t="inlineStr">
        <is>
          <t>Metal Ore Mining</t>
        </is>
      </c>
      <c r="N262" s="25" t="inlineStr">
        <is>
          <t>Mining and Mineral Products</t>
        </is>
      </c>
      <c r="O262" s="30" t="inlineStr">
        <is>
          <t>Other Base Metal Ore Mining</t>
        </is>
      </c>
      <c r="P262" s="28" t="n">
        <v>436.976741367408</v>
      </c>
      <c r="Q262" s="28" t="n">
        <v>517.21987975832</v>
      </c>
      <c r="R262" s="28" t="n">
        <v>156.610849981792</v>
      </c>
      <c r="S262" s="28" t="n">
        <v>29.1996224563931</v>
      </c>
      <c r="T262" s="28" t="n">
        <v>24.6694996013267</v>
      </c>
      <c r="U262" s="28" t="n">
        <v>8.841457531811351</v>
      </c>
    </row>
    <row r="263" ht="15" customHeight="1">
      <c r="A263" s="25" t="inlineStr">
        <is>
          <t>HLI-AU</t>
        </is>
      </c>
      <c r="B263" s="25" t="inlineStr">
        <is>
          <t>Helia Group Ltd.</t>
        </is>
      </c>
      <c r="C263" s="25" t="inlineStr">
        <is>
          <t>Public</t>
        </is>
      </c>
      <c r="D263" s="25" t="inlineStr">
        <is>
          <t>Australia</t>
        </is>
      </c>
      <c r="E263" s="26" t="n">
        <v>2011</v>
      </c>
      <c r="F263" s="27" t="n">
        <v>204</v>
      </c>
      <c r="G263" s="28" t="n">
        <v>501.166</v>
      </c>
      <c r="H263" s="25" t="inlineStr">
        <is>
          <t>Pacific</t>
        </is>
      </c>
      <c r="I263" s="25" t="inlineStr">
        <is>
          <t>New South Wales (NSW)</t>
        </is>
      </c>
      <c r="J263" s="28" t="n">
        <v>2932.57890903651</v>
      </c>
      <c r="K263" s="25" t="inlineStr">
        <is>
          <t>Helia Group Ltd. engages in the provision of lenders mortgage insurance. It is also involved in the residential mortgage policy development with the lending institutions, local and international regulators and government and industry bodies. The company was founded on December 21, 2011, and is headquartered in North Sydney, Australia.</t>
        </is>
      </c>
      <c r="L263" s="25" t="inlineStr">
        <is>
          <t>Property and Casualty Insurance</t>
        </is>
      </c>
      <c r="M263" s="25" t="inlineStr">
        <is>
          <t>Insurance</t>
        </is>
      </c>
      <c r="N263" s="25" t="inlineStr">
        <is>
          <t>Insurance</t>
        </is>
      </c>
      <c r="O263" s="30" t="inlineStr">
        <is>
          <t>Personal Insurance</t>
        </is>
      </c>
      <c r="P263" s="28" t="inlineStr">
        <is>
          <t>-</t>
        </is>
      </c>
      <c r="Q263" s="28" t="inlineStr">
        <is>
          <t>-</t>
        </is>
      </c>
      <c r="R263" s="28" t="n">
        <v>231.541999999999</v>
      </c>
      <c r="S263" s="28" t="inlineStr">
        <is>
          <t>-</t>
        </is>
      </c>
      <c r="T263" s="28" t="inlineStr">
        <is>
          <t>-</t>
        </is>
      </c>
      <c r="U263" s="28" t="n">
        <v>46.2006600607384</v>
      </c>
    </row>
    <row r="264" ht="15" customHeight="1">
      <c r="A264" s="25" t="inlineStr">
        <is>
          <t>MVF-AU</t>
        </is>
      </c>
      <c r="B264" s="25" t="inlineStr">
        <is>
          <t>Monash IVF Group Ltd.</t>
        </is>
      </c>
      <c r="C264" s="25" t="inlineStr">
        <is>
          <t>Public</t>
        </is>
      </c>
      <c r="D264" s="25" t="inlineStr">
        <is>
          <t>Australia</t>
        </is>
      </c>
      <c r="E264" s="26" t="n">
        <v>2014</v>
      </c>
      <c r="F264" s="27" t="n">
        <v>892</v>
      </c>
      <c r="G264" s="28" t="n">
        <v>271.917</v>
      </c>
      <c r="H264" s="25" t="inlineStr">
        <is>
          <t>Pacific</t>
        </is>
      </c>
      <c r="I264" s="25" t="inlineStr">
        <is>
          <t>Victoria (VIC)</t>
        </is>
      </c>
      <c r="J264" s="28" t="n">
        <v>492.607012141047</v>
      </c>
      <c r="K264" s="25" t="inlineStr">
        <is>
          <t>Monash IVF Group Ltd. engages in the field of fertility services. It operates through the Australia IVF and Ultrasound, and International IV segments. The Australia IVF and Ultrasound segment provides assisted reproductive services, ultrasound, and other related services. The International IV segment focuses on reproductive services in southeast Asia. The company was founded on April 30, 2014 and is headquartered in Cremorne, Australia.</t>
        </is>
      </c>
      <c r="L264" s="25" t="inlineStr">
        <is>
          <t>Other Ambulatory and Outpatient Patient Care</t>
        </is>
      </c>
      <c r="M264" s="25" t="inlineStr">
        <is>
          <t>Patient Care</t>
        </is>
      </c>
      <c r="N264" s="25" t="inlineStr">
        <is>
          <t>Healthcare Services</t>
        </is>
      </c>
      <c r="O264" s="30" t="inlineStr">
        <is>
          <t>Specialized Ambulatory and Outpatient Patient Care</t>
        </is>
      </c>
      <c r="P264" s="28" t="n">
        <v>75.4809999999999</v>
      </c>
      <c r="Q264" s="28" t="n">
        <v>66.7080030242973</v>
      </c>
      <c r="R264" s="28" t="n">
        <v>25.008</v>
      </c>
      <c r="S264" s="28" t="n">
        <v>24.5324860159534</v>
      </c>
      <c r="T264" s="28" t="n">
        <v>27.7588381748842</v>
      </c>
      <c r="U264" s="28" t="n">
        <v>9.19692406138638</v>
      </c>
    </row>
    <row r="265" ht="15" customHeight="1">
      <c r="A265" s="25" t="inlineStr">
        <is>
          <t>SIQ-AU</t>
        </is>
      </c>
      <c r="B265" s="25" t="inlineStr">
        <is>
          <t>Smartgroup Corp. Ltd.</t>
        </is>
      </c>
      <c r="C265" s="25" t="inlineStr">
        <is>
          <t>Public</t>
        </is>
      </c>
      <c r="D265" s="25" t="inlineStr">
        <is>
          <t>Australia</t>
        </is>
      </c>
      <c r="E265" s="26" t="n">
        <v>1999</v>
      </c>
      <c r="F265" s="27" t="n">
        <v>772</v>
      </c>
      <c r="G265" s="28" t="n">
        <v>305.842</v>
      </c>
      <c r="H265" s="25" t="inlineStr">
        <is>
          <t>Pacific</t>
        </is>
      </c>
      <c r="I265" s="25" t="inlineStr">
        <is>
          <t>New South Wales (NSW)</t>
        </is>
      </c>
      <c r="J265" s="28" t="n">
        <v>653.356979734004</v>
      </c>
      <c r="K265" s="25" t="inlineStr">
        <is>
          <t>Smartgroup Corp. Ltd. engages in the provision of employee benefits and workforce optimization services. It operates through the following segments: Outsourced Administration, Vehicle Services, and Software, Distribution and Group Services (SDGS). The Outsourced Administration segment includes salary packaging administration, leasing, and share plan administration. The Vehicle Services segment provides end-to-end fleet management services. The SDGS segment offers salary packaging software solutions, distribution of vehicle insurances, and information technology services. The company was founded in 1999 and is headquartered in Sydney, Australia.</t>
        </is>
      </c>
      <c r="L265" s="25" t="inlineStr">
        <is>
          <t>Administrative Services</t>
        </is>
      </c>
      <c r="M265" s="25" t="inlineStr">
        <is>
          <t>Other Professional Services</t>
        </is>
      </c>
      <c r="N265" s="25" t="inlineStr">
        <is>
          <t>Business Services</t>
        </is>
      </c>
      <c r="O265" s="30" t="inlineStr">
        <is>
          <t>Administrative Employment Services</t>
        </is>
      </c>
      <c r="P265" s="28" t="n">
        <v>157.05</v>
      </c>
      <c r="Q265" s="28" t="n">
        <v>120.502007010035</v>
      </c>
      <c r="R265" s="28" t="n">
        <v>75.599</v>
      </c>
      <c r="S265" s="28" t="n">
        <v>39.4000823954853</v>
      </c>
      <c r="T265" s="28" t="n">
        <v>51.3500434865061</v>
      </c>
      <c r="U265" s="28" t="n">
        <v>24.718318608955</v>
      </c>
    </row>
    <row r="266" ht="15" customHeight="1">
      <c r="A266" s="25" t="inlineStr">
        <is>
          <t>ASH-AU</t>
        </is>
      </c>
      <c r="B266" s="25" t="inlineStr">
        <is>
          <t>Ashley Services Group Ltd.</t>
        </is>
      </c>
      <c r="C266" s="25" t="inlineStr">
        <is>
          <t>Public</t>
        </is>
      </c>
      <c r="D266" s="25" t="inlineStr">
        <is>
          <t>Australia</t>
        </is>
      </c>
      <c r="E266" s="26" t="n">
        <v>1968</v>
      </c>
      <c r="F266" s="27" t="inlineStr">
        <is>
          <t>-</t>
        </is>
      </c>
      <c r="G266" s="28" t="n">
        <v>515.943</v>
      </c>
      <c r="H266" s="25" t="inlineStr">
        <is>
          <t>Pacific</t>
        </is>
      </c>
      <c r="I266" s="25" t="inlineStr">
        <is>
          <t>New South Wales (NSW)</t>
        </is>
      </c>
      <c r="J266" s="28" t="n">
        <v>86.5790021338711</v>
      </c>
      <c r="K266" s="25" t="inlineStr">
        <is>
          <t>Ashley Services Group Ltd. engages in the provision of workforce solutions. It specializes in training, recruitment, and labor hire. It operates through the Labour Hire and Training segments. The company was founded by Ross Shrimpton in 1968 and is headquartered in Sydney, Australia.</t>
        </is>
      </c>
      <c r="L266" s="25" t="inlineStr">
        <is>
          <t>Administrative Services</t>
        </is>
      </c>
      <c r="M266" s="25" t="inlineStr">
        <is>
          <t>Other Professional Services</t>
        </is>
      </c>
      <c r="N266" s="25" t="inlineStr">
        <is>
          <t>Business Services</t>
        </is>
      </c>
      <c r="O266" s="30" t="inlineStr">
        <is>
          <t>Administrative Employment Services</t>
        </is>
      </c>
      <c r="P266" s="28" t="inlineStr">
        <is>
          <t>-</t>
        </is>
      </c>
      <c r="Q266" s="28" t="n">
        <v>9.174005100402811</v>
      </c>
      <c r="R266" s="28" t="n">
        <v>2.17199999999999</v>
      </c>
      <c r="S266" s="28" t="n">
        <v>1.77810339514249</v>
      </c>
      <c r="T266" s="28" t="inlineStr">
        <is>
          <t>-</t>
        </is>
      </c>
      <c r="U266" s="28" t="n">
        <v>0.420976735802211</v>
      </c>
    </row>
    <row r="267" ht="15" customHeight="1">
      <c r="A267" s="25" t="inlineStr">
        <is>
          <t>REG-AU</t>
        </is>
      </c>
      <c r="B267" s="25" t="inlineStr">
        <is>
          <t>Regis Healthcare Ltd.</t>
        </is>
      </c>
      <c r="C267" s="25" t="inlineStr">
        <is>
          <t>Public</t>
        </is>
      </c>
      <c r="D267" s="25" t="inlineStr">
        <is>
          <t>Australia</t>
        </is>
      </c>
      <c r="E267" s="26" t="n">
        <v>2007</v>
      </c>
      <c r="F267" s="27" t="n">
        <v>12000</v>
      </c>
      <c r="G267" s="28" t="n">
        <v>1152.791</v>
      </c>
      <c r="H267" s="25" t="inlineStr">
        <is>
          <t>Pacific</t>
        </is>
      </c>
      <c r="I267" s="25" t="inlineStr">
        <is>
          <t>Victoria (VIC)</t>
        </is>
      </c>
      <c r="J267" s="28" t="n">
        <v>2105.29805188827</v>
      </c>
      <c r="K267" s="25" t="inlineStr">
        <is>
          <t>Regis Healthcare Ltd. engages in the provision of residential aged care services. It offers aged care facilities, retirement villages, home care, day therapy, and day respite programs. The company was founded by Bryan Anthony Dorman and Ian Roberts in 1994 and is headquartered in Melbourne, Australia.</t>
        </is>
      </c>
      <c r="L267" s="25" t="inlineStr">
        <is>
          <t>Long-Term Care Facilities</t>
        </is>
      </c>
      <c r="M267" s="25" t="inlineStr">
        <is>
          <t>Patient Care</t>
        </is>
      </c>
      <c r="N267" s="25" t="inlineStr">
        <is>
          <t>Healthcare Services</t>
        </is>
      </c>
      <c r="O267" s="30" t="inlineStr">
        <is>
          <t>Other Long-Term Care Facilities</t>
        </is>
      </c>
      <c r="P267" s="28" t="n">
        <v>141.460999999999</v>
      </c>
      <c r="Q267" s="28" t="n">
        <v>101.33800122826</v>
      </c>
      <c r="R267" s="28" t="n">
        <v>48.951</v>
      </c>
      <c r="S267" s="28" t="n">
        <v>8.79066543718679</v>
      </c>
      <c r="T267" s="28" t="n">
        <v>12.2711749137528</v>
      </c>
      <c r="U267" s="28" t="n">
        <v>4.24630310264393</v>
      </c>
    </row>
    <row r="268" ht="15" customHeight="1">
      <c r="A268" s="25" t="inlineStr">
        <is>
          <t>IPH-AU</t>
        </is>
      </c>
      <c r="B268" s="25" t="inlineStr">
        <is>
          <t>IPH Ltd.</t>
        </is>
      </c>
      <c r="C268" s="25" t="inlineStr">
        <is>
          <t>Public</t>
        </is>
      </c>
      <c r="D268" s="25" t="inlineStr">
        <is>
          <t>Australia</t>
        </is>
      </c>
      <c r="E268" s="26" t="n">
        <v>2014</v>
      </c>
      <c r="F268" s="27" t="n">
        <v>1900</v>
      </c>
      <c r="G268" s="28" t="n">
        <v>706.2</v>
      </c>
      <c r="H268" s="25" t="inlineStr">
        <is>
          <t>Pacific</t>
        </is>
      </c>
      <c r="I268" s="25" t="inlineStr">
        <is>
          <t>New South Wales (NSW)</t>
        </is>
      </c>
      <c r="J268" s="28" t="n">
        <v>1350.50003328512</v>
      </c>
      <c r="K268" s="25" t="inlineStr">
        <is>
          <t>IPH Ltd. is a holding company, which engages in the provision of intellectual property (IP) services. It operates through the following segments: Intellectual Property Services Australia Services and New Zealand, Intellectual Property Services Asia, Intellectual Property Services Canada, and Corporate. The Intellectual Property Services Australia Services and New Zealand segment is involved in filing, prosecution, enforcement, and management of patents, designs, trademarks, and other IP in Australia and New Zealand. The Intellectual Property Services Asia segment includes filing, prosecution, enforcement and management of patents, designs, trademarks, and other IP in Asia. The Intellectual Property Services Canada segment deals with the filing, prosecution, enforcement, and management of patents, designs, trademarks and other IP in Canada. The Corporate segment manages the group strategy, compliance governance, capital management and other head office ancillary services. The company was founded on April 9, 2014 and is headquartered in Sydney, Australia.</t>
        </is>
      </c>
      <c r="L268" s="25" t="inlineStr">
        <is>
          <t>Consulting/Business Process Outsourcing Services</t>
        </is>
      </c>
      <c r="M268" s="25" t="inlineStr">
        <is>
          <t>Other Professional Services</t>
        </is>
      </c>
      <c r="N268" s="25" t="inlineStr">
        <is>
          <t>Business Services</t>
        </is>
      </c>
      <c r="O268" s="30" t="inlineStr">
        <is>
          <t>Other Consulting and Business Process Outsourcing</t>
        </is>
      </c>
      <c r="P268" s="28" t="inlineStr">
        <is>
          <t>-</t>
        </is>
      </c>
      <c r="Q268" s="28" t="n">
        <v>194.499988512457</v>
      </c>
      <c r="R268" s="28" t="n">
        <v>68.8</v>
      </c>
      <c r="S268" s="28" t="n">
        <v>27.5417728688757</v>
      </c>
      <c r="T268" s="28" t="inlineStr">
        <is>
          <t>-</t>
        </is>
      </c>
      <c r="U268" s="28" t="n">
        <v>9.742282639478899</v>
      </c>
    </row>
    <row r="269" ht="15" customHeight="1">
      <c r="A269" s="25" t="inlineStr">
        <is>
          <t>SIO-AU</t>
        </is>
      </c>
      <c r="B269" s="25" t="inlineStr">
        <is>
          <t>Simonds Group Ltd.</t>
        </is>
      </c>
      <c r="C269" s="25" t="inlineStr">
        <is>
          <t>Public</t>
        </is>
      </c>
      <c r="D269" s="25" t="inlineStr">
        <is>
          <t>Australia</t>
        </is>
      </c>
      <c r="E269" s="26" t="n">
        <v>2010</v>
      </c>
      <c r="F269" s="27" t="inlineStr">
        <is>
          <t>-</t>
        </is>
      </c>
      <c r="G269" s="28" t="n">
        <v>665.6369999999999</v>
      </c>
      <c r="H269" s="25" t="inlineStr">
        <is>
          <t>Pacific</t>
        </is>
      </c>
      <c r="I269" s="25" t="inlineStr">
        <is>
          <t>Victoria (VIC)</t>
        </is>
      </c>
      <c r="J269" s="28" t="n">
        <v>186.222004589724</v>
      </c>
      <c r="K269" s="25" t="inlineStr">
        <is>
          <t>Simonds Group Ltd. engages in designing and construction of residential dwellings, development of residential land and providing registered training courses. It operates through three segments: Residential Construction, Registered Training and Land Development. The Residential Construction segment includes contracts for residential home construction, speculative home building and building of display home inventory. The Registered Training segment includes activities relating to registered training provided by House of Learning Pty Ltd trading as Building Academy Australia. The Land Development segment engages in land development, project management services and sales. The company was founded by Gary Simonds in 1949 and is headquartered in Melbourne, Australia.</t>
        </is>
      </c>
      <c r="L269" s="25" t="inlineStr">
        <is>
          <t>Home Builders</t>
        </is>
      </c>
      <c r="M269" s="25" t="inlineStr">
        <is>
          <t>Home Builders and Manufactured Buildings</t>
        </is>
      </c>
      <c r="N269" s="25" t="inlineStr">
        <is>
          <t>Miscellaneous Retail</t>
        </is>
      </c>
      <c r="O269" s="30" t="inlineStr">
        <is>
          <t>Home Builders</t>
        </is>
      </c>
      <c r="P269" s="28" t="n">
        <v>46.8649999999999</v>
      </c>
      <c r="Q269" s="28" t="n">
        <v>30.2140112503151</v>
      </c>
      <c r="R269" s="28" t="n">
        <v>1.39899999999999</v>
      </c>
      <c r="S269" s="28" t="n">
        <v>4.53911065640882</v>
      </c>
      <c r="T269" s="28" t="n">
        <v>7.04062424414507</v>
      </c>
      <c r="U269" s="28" t="n">
        <v>0.210174614692392</v>
      </c>
    </row>
    <row r="270" ht="15" customHeight="1">
      <c r="A270" s="25" t="inlineStr">
        <is>
          <t>COF-AU</t>
        </is>
      </c>
      <c r="B270" s="25" t="inlineStr">
        <is>
          <t>Centuria Office REIT</t>
        </is>
      </c>
      <c r="C270" s="25" t="inlineStr">
        <is>
          <t>Public</t>
        </is>
      </c>
      <c r="D270" s="25" t="inlineStr">
        <is>
          <t>Australia</t>
        </is>
      </c>
      <c r="E270" s="26" t="n">
        <v>2007</v>
      </c>
      <c r="F270" s="27" t="inlineStr">
        <is>
          <t>-</t>
        </is>
      </c>
      <c r="G270" s="28" t="n">
        <v>154.301999999999</v>
      </c>
      <c r="H270" s="25" t="inlineStr">
        <is>
          <t>Pacific</t>
        </is>
      </c>
      <c r="I270" s="25" t="inlineStr">
        <is>
          <t>New South Wales (NSW)</t>
        </is>
      </c>
      <c r="J270" s="28" t="n">
        <v>1950.86104808193</v>
      </c>
      <c r="K270" s="25" t="inlineStr">
        <is>
          <t>Centuria Office REIT engages in the investment in office and industrial assets in metropolitan markets of Australia. The company was founded in 2005 and is headquartered in Sydney, Australia.</t>
        </is>
      </c>
      <c r="L270" s="25" t="inlineStr">
        <is>
          <t>Equity REITs</t>
        </is>
      </c>
      <c r="M270" s="25" t="inlineStr">
        <is>
          <t>Real Estate Investment Trusts (REITs)</t>
        </is>
      </c>
      <c r="N270" s="25" t="inlineStr">
        <is>
          <t>Real Estate</t>
        </is>
      </c>
      <c r="O270" s="30" t="inlineStr">
        <is>
          <t>Equity REITs</t>
        </is>
      </c>
      <c r="P270" s="28" t="n">
        <v>92.2329999999999</v>
      </c>
      <c r="Q270" s="28" t="n">
        <v>77.31801105725179</v>
      </c>
      <c r="R270" s="28" t="n">
        <v>-19.78</v>
      </c>
      <c r="S270" s="28" t="n">
        <v>50.1082293165351</v>
      </c>
      <c r="T270" s="28" t="n">
        <v>59.7743386346256</v>
      </c>
      <c r="U270" s="28" t="n">
        <v>-12.8190172518827</v>
      </c>
    </row>
    <row r="271" ht="15" customHeight="1">
      <c r="A271" s="25" t="inlineStr">
        <is>
          <t>LOV-AU</t>
        </is>
      </c>
      <c r="B271" s="25" t="inlineStr">
        <is>
          <t>Lovisa Holdings Ltd.</t>
        </is>
      </c>
      <c r="C271" s="25" t="inlineStr">
        <is>
          <t>Public</t>
        </is>
      </c>
      <c r="D271" s="25" t="inlineStr">
        <is>
          <t>Australia</t>
        </is>
      </c>
      <c r="E271" s="26" t="n">
        <v>2014</v>
      </c>
      <c r="F271" s="27" t="inlineStr">
        <is>
          <t>-</t>
        </is>
      </c>
      <c r="G271" s="28" t="n">
        <v>798.16957888621</v>
      </c>
      <c r="H271" s="25" t="inlineStr">
        <is>
          <t>Pacific</t>
        </is>
      </c>
      <c r="I271" s="25" t="inlineStr">
        <is>
          <t>Victoria (VIC)</t>
        </is>
      </c>
      <c r="J271" s="28" t="n">
        <v>701.161271187436</v>
      </c>
      <c r="K271" s="25" t="inlineStr">
        <is>
          <t>Lovisa Holdings Ltd. engages in the retail sale of fashion jewelry and accessories. It operates through the following geographical segments: Australia and New Zealand, Asia, Africa and Middle East, America, and Europe. The company was founded by Shane Fallscheer and Brett Blundy in April 2010 and is headquartered in Hawthorn, Australia.</t>
        </is>
      </c>
      <c r="L271" s="25" t="inlineStr">
        <is>
          <t>Accessories Retail</t>
        </is>
      </c>
      <c r="M271" s="25" t="inlineStr">
        <is>
          <t>Apparel and Accessories Retail</t>
        </is>
      </c>
      <c r="N271" s="25" t="inlineStr">
        <is>
          <t>Consumer Retail</t>
        </is>
      </c>
      <c r="O271" s="30" t="inlineStr">
        <is>
          <t>Jewelry Stores</t>
        </is>
      </c>
      <c r="P271" s="28" t="n">
        <v>306.482045601547</v>
      </c>
      <c r="Q271" s="28" t="n">
        <v>272.921498790265</v>
      </c>
      <c r="R271" s="28" t="n">
        <v>86.3359566443241</v>
      </c>
      <c r="S271" s="28" t="n">
        <v>34.1934239030337</v>
      </c>
      <c r="T271" s="28" t="n">
        <v>38.39811159293</v>
      </c>
      <c r="U271" s="28" t="n">
        <v>10.8167435753189</v>
      </c>
    </row>
    <row r="272" ht="15" customHeight="1">
      <c r="A272" s="25" t="inlineStr">
        <is>
          <t>S32-AU</t>
        </is>
      </c>
      <c r="B272" s="25" t="inlineStr">
        <is>
          <t>South32 Ltd.</t>
        </is>
      </c>
      <c r="C272" s="25" t="inlineStr">
        <is>
          <t>Public</t>
        </is>
      </c>
      <c r="D272" s="25" t="inlineStr">
        <is>
          <t>Australia</t>
        </is>
      </c>
      <c r="E272" s="26" t="n">
        <v>2000</v>
      </c>
      <c r="F272" s="27" t="n">
        <v>8892</v>
      </c>
      <c r="G272" s="28" t="n">
        <v>8924.83543030653</v>
      </c>
      <c r="H272" s="25" t="inlineStr">
        <is>
          <t>Pacific</t>
        </is>
      </c>
      <c r="I272" s="25" t="inlineStr">
        <is>
          <t>Western Australia (WA)</t>
        </is>
      </c>
      <c r="J272" s="28" t="n">
        <v>20946.0598739749</v>
      </c>
      <c r="K272" s="25" t="inlineStr">
        <is>
          <t>South32 Ltd. operates as a metal and mining company. It operates through the following segments: Worsley Alumina, Hillside Aluminium, Mozal Aluminium, Brazil Alumina, South Africa Energy Coal, Illawarra Metallurgical Coal, Eagle Downs Metallurgical Coal, Australia Manganese, South Africa Managanese, Cerro Matoso, Cannington, and Hermosa. The Worsley Alumina segment offers bauxite mine and alumina refinery in Western Australia. The Hillside Aluminium segment offers aluminium smelters at Richards Bay, South Africa. The Mozal Aluminium segment includes aluminium smelter in Mozambique. The Brazil Alumina segment covers alumina refinery in Brazil. The South Africa Energy Coal segment comprises of open-cut and underground energy coal mines and processing operations in South Africa. The Illawarra Metallurgical Coal segment consists of underground metallurgical coal mines in New South Wales, Australia. The Eagle Downs Metallurgical Coal segment involves in the exploration and development of metallurgical coal deposit in Queensland, Australia. The Australia Manganese segment produces manganese ore in the Northern Territory and manganese alloys in Tasmania. The South Africa Manganese segment involves in the production of ore and alloy in South Africa. The Cerro Matoso segment includes laterite ferronickel mining and smelting complex in Colombia. The Cannington segment explores silver, lead, and zinc. The Hermosa segment involves in exploration and development option for zinc, lead and silver sulphide deposit in Tucson, United States. The company was founded on July 12, 2000 and is headquartered in Perth, Australia.</t>
        </is>
      </c>
      <c r="L272" s="25" t="inlineStr">
        <is>
          <t>Primary Metals Products</t>
        </is>
      </c>
      <c r="M272" s="25" t="inlineStr">
        <is>
          <t>Metal Products</t>
        </is>
      </c>
      <c r="N272" s="25" t="inlineStr">
        <is>
          <t>Mining and Mineral Products</t>
        </is>
      </c>
      <c r="O272" s="30" t="inlineStr">
        <is>
          <t>Alumina and Aluminum Products Manufacturing</t>
        </is>
      </c>
      <c r="P272" s="28" t="n">
        <v>1542.54508561872</v>
      </c>
      <c r="Q272" s="28" t="n">
        <v>1893.05332828856</v>
      </c>
      <c r="R272" s="28" t="n">
        <v>491.020357584339</v>
      </c>
      <c r="S272" s="28" t="n">
        <v>21.2110726834431</v>
      </c>
      <c r="T272" s="28" t="n">
        <v>17.2837370242214</v>
      </c>
      <c r="U272" s="28" t="n">
        <v>5.50173010380623</v>
      </c>
    </row>
    <row r="273" ht="15" customHeight="1">
      <c r="A273" s="25" t="inlineStr">
        <is>
          <t>FPR-AU</t>
        </is>
      </c>
      <c r="B273" s="25" t="inlineStr">
        <is>
          <t>FleetPartners Group Ltd.</t>
        </is>
      </c>
      <c r="C273" s="25" t="inlineStr">
        <is>
          <t>Public</t>
        </is>
      </c>
      <c r="D273" s="25" t="inlineStr">
        <is>
          <t>Australia</t>
        </is>
      </c>
      <c r="E273" s="26" t="n">
        <v>2008</v>
      </c>
      <c r="F273" s="27" t="inlineStr">
        <is>
          <t>-</t>
        </is>
      </c>
      <c r="G273" s="28" t="n">
        <v>761.631999999999</v>
      </c>
      <c r="H273" s="25" t="inlineStr">
        <is>
          <t>Pacific</t>
        </is>
      </c>
      <c r="I273" s="25" t="inlineStr">
        <is>
          <t>New South Wales (NSW)</t>
        </is>
      </c>
      <c r="J273" s="28" t="n">
        <v>2530.58304336491</v>
      </c>
      <c r="K273" s="25" t="inlineStr">
        <is>
          <t>FleetPartners Group Ltd. engages in the provision of vehicle fleet leasing, fleet management and diversified financial services. It operates through following four segments: Australian Commercial, Novated, and New Zealand Commercial. The Australian commercial segment provides vehicle fleet leasing and management business and commercial equipment finance and leasing. The Novated segment specializes in novated leasing and salary packaging. The New Zealand Commercial segment specialises in fleet leasing and management and operates under the trading names of fleetPlus and fleetPartners. The company was founded in 1987 and is headquartered in Sydney, Australia.</t>
        </is>
      </c>
      <c r="L273" s="25" t="inlineStr">
        <is>
          <t>Commercial Finance Services</t>
        </is>
      </c>
      <c r="M273" s="25" t="inlineStr">
        <is>
          <t>Specialty Finance</t>
        </is>
      </c>
      <c r="N273" s="25" t="inlineStr">
        <is>
          <t>Specialty Finance and Services</t>
        </is>
      </c>
      <c r="O273" s="30" t="inlineStr">
        <is>
          <t>Leasing Services</t>
        </is>
      </c>
      <c r="P273" s="28" t="n">
        <v>299.430999999999</v>
      </c>
      <c r="Q273" s="28" t="n">
        <v>405.423006967158</v>
      </c>
      <c r="R273" s="28" t="n">
        <v>77.877</v>
      </c>
      <c r="S273" s="28" t="n">
        <v>53.230825385488</v>
      </c>
      <c r="T273" s="28" t="n">
        <v>39.3143933028024</v>
      </c>
      <c r="U273" s="28" t="n">
        <v>10.2250168060166</v>
      </c>
    </row>
    <row r="274" ht="15" customHeight="1">
      <c r="A274" s="25" t="inlineStr">
        <is>
          <t>SLC-AU</t>
        </is>
      </c>
      <c r="B274" s="25" t="inlineStr">
        <is>
          <t>Superloop Ltd.</t>
        </is>
      </c>
      <c r="C274" s="25" t="inlineStr">
        <is>
          <t>Public</t>
        </is>
      </c>
      <c r="D274" s="25" t="inlineStr">
        <is>
          <t>Australia</t>
        </is>
      </c>
      <c r="E274" s="26" t="n">
        <v>2014</v>
      </c>
      <c r="F274" s="27" t="inlineStr">
        <is>
          <t>-</t>
        </is>
      </c>
      <c r="G274" s="28" t="n">
        <v>546.463999999999</v>
      </c>
      <c r="H274" s="25" t="inlineStr">
        <is>
          <t>Pacific</t>
        </is>
      </c>
      <c r="I274" s="25" t="inlineStr">
        <is>
          <t>New South Wales (NSW)</t>
        </is>
      </c>
      <c r="J274" s="28" t="n">
        <v>608.709015002558</v>
      </c>
      <c r="K274" s="25" t="inlineStr">
        <is>
          <t>Superloop Ltd. engages in the provision of connectivity services in the Asia Pacific region. The firm operates through the following segments: Connectivity, Services, and Broadband. The Connectivity segment includes the development and operation of independent connectivity infrastructure and services throughout the Asia Pacific region for wholesale and enterprise customers including fibre optic cable, international submarine cables and fixed wireless networks. The Services segment includes the provision of outsourced cloud and managed services, cyber security and cyber safety. The Broadband segment includes the provision of broadband services for individual end users including residential NBN, retail fixed wireless and fixed line internet services and connectivity services for hotels, student accommodation sites and schools. The company was founded by Bevan Andrew Slattery on April 28, 2014 and is headquartered in Brisbane, Australia.</t>
        </is>
      </c>
      <c r="L274" s="25" t="inlineStr">
        <is>
          <t>Telecommunications Carrier Services</t>
        </is>
      </c>
      <c r="M274" s="25" t="inlineStr">
        <is>
          <t>General Telecommunications Services</t>
        </is>
      </c>
      <c r="N274" s="25" t="inlineStr">
        <is>
          <t>Telecommunications</t>
        </is>
      </c>
      <c r="O274" s="30" t="inlineStr">
        <is>
          <t>Telecommunications Carrier Services</t>
        </is>
      </c>
      <c r="P274" s="28" t="n">
        <v>45.586</v>
      </c>
      <c r="Q274" s="28" t="n">
        <v>80.0409968760965</v>
      </c>
      <c r="R274" s="28" t="n">
        <v>1.20799999999999</v>
      </c>
      <c r="S274" s="28" t="n">
        <v>14.647076477133</v>
      </c>
      <c r="T274" s="28" t="n">
        <v>8.341995081103249</v>
      </c>
      <c r="U274" s="28" t="n">
        <v>0.221057562803771</v>
      </c>
    </row>
    <row r="275" ht="15" customHeight="1">
      <c r="A275" s="25" t="inlineStr">
        <is>
          <t>WZR-AU</t>
        </is>
      </c>
      <c r="B275" s="25" t="inlineStr">
        <is>
          <t>Wisr Ltd.</t>
        </is>
      </c>
      <c r="C275" s="25" t="inlineStr">
        <is>
          <t>Public</t>
        </is>
      </c>
      <c r="D275" s="25" t="inlineStr">
        <is>
          <t>Australia</t>
        </is>
      </c>
      <c r="E275" s="26" t="n">
        <v>1966</v>
      </c>
      <c r="F275" s="27" t="inlineStr">
        <is>
          <t>-</t>
        </is>
      </c>
      <c r="G275" s="28" t="n">
        <v>91.5701099999999</v>
      </c>
      <c r="H275" s="25" t="inlineStr">
        <is>
          <t>Pacific</t>
        </is>
      </c>
      <c r="I275" s="25" t="inlineStr">
        <is>
          <t>New South Wales (NSW)</t>
        </is>
      </c>
      <c r="J275" s="28" t="n">
        <v>871.405091477102</v>
      </c>
      <c r="K275" s="25" t="inlineStr">
        <is>
          <t>Wisr Ltd. engages in the provision of writing personal loans and secured vehicle loans to consumers. The company was founded on May 2, 1966 and is headquartered in Sydney, Australia.</t>
        </is>
      </c>
      <c r="L275" s="25" t="inlineStr">
        <is>
          <t>Consumer Finance Services</t>
        </is>
      </c>
      <c r="M275" s="25" t="inlineStr">
        <is>
          <t>Specialty Finance</t>
        </is>
      </c>
      <c r="N275" s="25" t="inlineStr">
        <is>
          <t>Specialty Finance and Services</t>
        </is>
      </c>
      <c r="O275" s="30" t="inlineStr">
        <is>
          <t>Personal Loans</t>
        </is>
      </c>
      <c r="P275" s="28" t="n">
        <v>67.01924799999991</v>
      </c>
      <c r="Q275" s="28" t="n">
        <v>50.4310178700661</v>
      </c>
      <c r="R275" s="28" t="n">
        <v>-7.25991099999999</v>
      </c>
      <c r="S275" s="28" t="n">
        <v>55.0736588609536</v>
      </c>
      <c r="T275" s="28" t="n">
        <v>73.1890002097846</v>
      </c>
      <c r="U275" s="28" t="n">
        <v>-7.92825409950911</v>
      </c>
    </row>
    <row r="276" ht="15" customHeight="1">
      <c r="A276" s="25" t="inlineStr">
        <is>
          <t>TPW-AU</t>
        </is>
      </c>
      <c r="B276" s="25" t="inlineStr">
        <is>
          <t>Temple &amp; Webster Group Ltd.</t>
        </is>
      </c>
      <c r="C276" s="25" t="inlineStr">
        <is>
          <t>Public</t>
        </is>
      </c>
      <c r="D276" s="25" t="inlineStr">
        <is>
          <t>Australia</t>
        </is>
      </c>
      <c r="E276" s="26" t="n">
        <v>2011</v>
      </c>
      <c r="F276" s="27" t="inlineStr">
        <is>
          <t>-</t>
        </is>
      </c>
      <c r="G276" s="28" t="n">
        <v>600.718999999999</v>
      </c>
      <c r="H276" s="25" t="inlineStr">
        <is>
          <t>Pacific</t>
        </is>
      </c>
      <c r="I276" s="25" t="inlineStr">
        <is>
          <t>New South Wales (NSW)</t>
        </is>
      </c>
      <c r="J276" s="28" t="n">
        <v>277.510006839656</v>
      </c>
      <c r="K276" s="25" t="inlineStr">
        <is>
          <t>Temple &amp; Webster Group Ltd. operates as an online retailer of furniture and homewares. The company provides furniture, homewares, and home improvement products. It operates through two brands: Temple &amp; Webster, and Milan Direct. The company was founded by Mark Coulter, Brian Shanahan, Conrad Yiu and Adam McWhinney in July 2011 and is headquartered in St. Peters, Australia.</t>
        </is>
      </c>
      <c r="L276" s="25" t="inlineStr">
        <is>
          <t>Furniture and Home Furnishings Stores</t>
        </is>
      </c>
      <c r="M276" s="25" t="inlineStr">
        <is>
          <t>Home Improvement Retail</t>
        </is>
      </c>
      <c r="N276" s="25" t="inlineStr">
        <is>
          <t>Consumer Retail</t>
        </is>
      </c>
      <c r="O276" s="30" t="inlineStr">
        <is>
          <t>Internet Furniture and Home Furnishings Retail</t>
        </is>
      </c>
      <c r="P276" s="28" t="n">
        <v>138.975999999999</v>
      </c>
      <c r="Q276" s="28" t="n">
        <v>18.7910093850519</v>
      </c>
      <c r="R276" s="28" t="n">
        <v>11.302</v>
      </c>
      <c r="S276" s="28" t="n">
        <v>3.12808484499408</v>
      </c>
      <c r="T276" s="28" t="n">
        <v>23.134943292954</v>
      </c>
      <c r="U276" s="28" t="n">
        <v>1.88141210782412</v>
      </c>
    </row>
    <row r="277" ht="15" customHeight="1">
      <c r="A277" s="25" t="inlineStr">
        <is>
          <t>ZIP-AU</t>
        </is>
      </c>
      <c r="B277" s="25" t="inlineStr">
        <is>
          <t>Zip Co. Ltd.</t>
        </is>
      </c>
      <c r="C277" s="25" t="inlineStr">
        <is>
          <t>Public</t>
        </is>
      </c>
      <c r="D277" s="25" t="inlineStr">
        <is>
          <t>Australia</t>
        </is>
      </c>
      <c r="E277" s="26" t="n">
        <v>2009</v>
      </c>
      <c r="F277" s="27" t="n">
        <v>985</v>
      </c>
      <c r="G277" s="28" t="n">
        <v>1081.09199999999</v>
      </c>
      <c r="H277" s="25" t="inlineStr">
        <is>
          <t>Pacific</t>
        </is>
      </c>
      <c r="I277" s="25" t="inlineStr">
        <is>
          <t>New South Wales (NSW)</t>
        </is>
      </c>
      <c r="J277" s="28" t="n">
        <v>3504.66808637786</v>
      </c>
      <c r="K277" s="25" t="inlineStr">
        <is>
          <t>Zip Co. Ltd. is a digital financial services company, which engages in the offering of point-of-sale credit and payment services. It operates through the following segments: ANZ, USA, and Corporate and Other. The ANZ segment offers retail line of credit products and personal loans to consumers in Australia and retail installment products to consumers in New Zealand. The USA segment focuses on Buy Now Pay Later instalment products to customers in the USA. The company was founded by Larry Diamond and Gray Peter on September 18, 2009 and is headquartered in Sydney, Australia.</t>
        </is>
      </c>
      <c r="L277" s="25" t="inlineStr">
        <is>
          <t>Consumer Finance Services</t>
        </is>
      </c>
      <c r="M277" s="25" t="inlineStr">
        <is>
          <t>Specialty Finance</t>
        </is>
      </c>
      <c r="N277" s="25" t="inlineStr">
        <is>
          <t>Specialty Finance and Services</t>
        </is>
      </c>
      <c r="O277" s="30" t="inlineStr">
        <is>
          <t>Electronic Transaction Processing/Clearinghouses</t>
        </is>
      </c>
      <c r="P277" s="28" t="n">
        <v>607.317</v>
      </c>
      <c r="Q277" s="28" t="n">
        <v>92.0410094250858</v>
      </c>
      <c r="R277" s="28" t="n">
        <v>79.895</v>
      </c>
      <c r="S277" s="28" t="n">
        <v>8.51370651156423</v>
      </c>
      <c r="T277" s="28" t="n">
        <v>56.1762551198233</v>
      </c>
      <c r="U277" s="28" t="n">
        <v>7.39021285885012</v>
      </c>
    </row>
    <row r="278" ht="15" customHeight="1">
      <c r="A278" s="25" t="inlineStr">
        <is>
          <t>BBN-AU</t>
        </is>
      </c>
      <c r="B278" s="25" t="inlineStr">
        <is>
          <t>Baby Bunting Group Ltd.</t>
        </is>
      </c>
      <c r="C278" s="25" t="inlineStr">
        <is>
          <t>Public</t>
        </is>
      </c>
      <c r="D278" s="25" t="inlineStr">
        <is>
          <t>Australia</t>
        </is>
      </c>
      <c r="E278" s="26" t="n">
        <v>2007</v>
      </c>
      <c r="F278" s="27" t="n">
        <v>1560</v>
      </c>
      <c r="G278" s="28" t="n">
        <v>521.958920575861</v>
      </c>
      <c r="H278" s="25" t="inlineStr">
        <is>
          <t>Pacific</t>
        </is>
      </c>
      <c r="I278" s="25" t="inlineStr">
        <is>
          <t>Victoria (VIC)</t>
        </is>
      </c>
      <c r="J278" s="28" t="n">
        <v>341.737727172645</v>
      </c>
      <c r="K278" s="25" t="inlineStr">
        <is>
          <t>Baby Bunting Group Ltd. operates as a retailer of maternity and baby goods. It primarily engages in catering to parents with children from newborn up to three years of age and parents-to-be. The firm’s product categories include prams, cots and nursery furniture, car safety, toys, babywear, feeding, nappies, manchester, and associated accessories. It operates through the Australia and New Zealand geographical segments. The company was founded by Arnold Nadelaman and Gail Nadelman in 1979 and is headquartered in Dandenong South, Australia.</t>
        </is>
      </c>
      <c r="L278" s="25" t="inlineStr">
        <is>
          <t>Furniture and Home Furnishings Stores</t>
        </is>
      </c>
      <c r="M278" s="25" t="inlineStr">
        <is>
          <t>Home Improvement Retail</t>
        </is>
      </c>
      <c r="N278" s="25" t="inlineStr">
        <is>
          <t>Consumer Retail</t>
        </is>
      </c>
      <c r="O278" s="30" t="inlineStr">
        <is>
          <t>General Furniture and Home Furnishings Stores</t>
        </is>
      </c>
      <c r="P278" s="28" t="n">
        <v>169.87978532971</v>
      </c>
      <c r="Q278" s="28" t="n">
        <v>62.4458589079881</v>
      </c>
      <c r="R278" s="28" t="n">
        <v>9.53743708609691</v>
      </c>
      <c r="S278" s="28" t="n">
        <v>11.9637502754174</v>
      </c>
      <c r="T278" s="28" t="n">
        <v>32.5465814708728</v>
      </c>
      <c r="U278" s="28" t="n">
        <v>1.8272390240164</v>
      </c>
    </row>
    <row r="279" ht="15" customHeight="1">
      <c r="A279" s="25" t="inlineStr">
        <is>
          <t>IDX-AU</t>
        </is>
      </c>
      <c r="B279" s="25" t="inlineStr">
        <is>
          <t>Integral Diagnostics Ltd.</t>
        </is>
      </c>
      <c r="C279" s="25" t="inlineStr">
        <is>
          <t>Public</t>
        </is>
      </c>
      <c r="D279" s="25" t="inlineStr">
        <is>
          <t>Australia</t>
        </is>
      </c>
      <c r="E279" s="26" t="n">
        <v>2008</v>
      </c>
      <c r="F279" s="27" t="n">
        <v>2779</v>
      </c>
      <c r="G279" s="28" t="n">
        <v>627.215</v>
      </c>
      <c r="H279" s="25" t="inlineStr">
        <is>
          <t>Pacific</t>
        </is>
      </c>
      <c r="I279" s="25" t="inlineStr">
        <is>
          <t>Victoria (VIC)</t>
        </is>
      </c>
      <c r="J279" s="28" t="n">
        <v>1426.47003515752</v>
      </c>
      <c r="K279" s="25" t="inlineStr">
        <is>
          <t>Integral Diagnostics Ltd. engages in the provision of diagnostic imaging services to general practitioners, medical specialists, and allied professionals. It operates under three core brands: Lake Imaging, South Coast Radiology, and Global Diagnostics. The company was founded in 1967 and is headquartered in North Melbourne, Australia.</t>
        </is>
      </c>
      <c r="L279" s="25" t="inlineStr">
        <is>
          <t>Ambulatory and Outpatient Diagnostic Patient Care</t>
        </is>
      </c>
      <c r="M279" s="25" t="inlineStr">
        <is>
          <t>Patient Care</t>
        </is>
      </c>
      <c r="N279" s="25" t="inlineStr">
        <is>
          <t>Healthcare Services</t>
        </is>
      </c>
      <c r="O279" s="30" t="inlineStr">
        <is>
          <t>Other Ambulatory and Outpatient Diagnostic Care</t>
        </is>
      </c>
      <c r="P279" s="28" t="n">
        <v>138.703999999999</v>
      </c>
      <c r="Q279" s="28" t="n">
        <v>113.818997555195</v>
      </c>
      <c r="R279" s="28" t="n">
        <v>4.67299999999999</v>
      </c>
      <c r="S279" s="28" t="n">
        <v>18.1467279959822</v>
      </c>
      <c r="T279" s="28" t="n">
        <v>22.1142670376187</v>
      </c>
      <c r="U279" s="28" t="n">
        <v>0.745039579729439</v>
      </c>
    </row>
    <row r="280" ht="15" customHeight="1">
      <c r="A280" s="25" t="inlineStr">
        <is>
          <t>PWH-AU</t>
        </is>
      </c>
      <c r="B280" s="25" t="inlineStr">
        <is>
          <t>PWR Holdings Ltd.</t>
        </is>
      </c>
      <c r="C280" s="25" t="inlineStr">
        <is>
          <t>Public</t>
        </is>
      </c>
      <c r="D280" s="25" t="inlineStr">
        <is>
          <t>Australia</t>
        </is>
      </c>
      <c r="E280" s="26" t="n">
        <v>2003</v>
      </c>
      <c r="F280" s="27" t="n">
        <v>581</v>
      </c>
      <c r="G280" s="28" t="n">
        <v>130.099</v>
      </c>
      <c r="H280" s="25" t="inlineStr">
        <is>
          <t>Pacific</t>
        </is>
      </c>
      <c r="I280" s="25" t="inlineStr">
        <is>
          <t>Queensland (QLD)</t>
        </is>
      </c>
      <c r="J280" s="28" t="n">
        <v>204.980005052043</v>
      </c>
      <c r="K280" s="25" t="inlineStr">
        <is>
          <t>PWR Holdings Ltd. engages in design, prototyping, production, testing, validation, and sale of advanced cooling products and solutions to the motorsports, automotive original equipment manufacturing, aerospace and defence, and automotive aftermarket sectors for domestic and international markets. It operates through the PWR Performance Products and PWR C&amp;R segments. The PWR Performance Products segment is composed of its Australian and European operations. The C&amp;R segment deals with its USA operations. The company was founded by Kees Weel and Paul Weel in 1997 and is headquartered in Ormeau, Australia.</t>
        </is>
      </c>
      <c r="L280" s="25" t="inlineStr">
        <is>
          <t>Consumer Vehicle Parts Manufacturing</t>
        </is>
      </c>
      <c r="M280" s="25" t="inlineStr">
        <is>
          <t>Consumer Vehicles and Parts</t>
        </is>
      </c>
      <c r="N280" s="25" t="inlineStr">
        <is>
          <t>Consumer Vehicles and Parts</t>
        </is>
      </c>
      <c r="O280" s="30" t="inlineStr">
        <is>
          <t>Consumer Vehicle Powertrain and Chassis Makers</t>
        </is>
      </c>
      <c r="P280" s="28" t="n">
        <v>25.5839999999999</v>
      </c>
      <c r="Q280" s="28" t="n">
        <v>23.4139969334717</v>
      </c>
      <c r="R280" s="28" t="n">
        <v>9.766999999999991</v>
      </c>
      <c r="S280" s="28" t="n">
        <v>17.9970637745102</v>
      </c>
      <c r="T280" s="28" t="n">
        <v>19.6650243276274</v>
      </c>
      <c r="U280" s="28" t="n">
        <v>7.50735977985995</v>
      </c>
    </row>
    <row r="281" ht="15" customHeight="1">
      <c r="A281" s="25" t="inlineStr">
        <is>
          <t>MLG-AU</t>
        </is>
      </c>
      <c r="B281" s="25" t="inlineStr">
        <is>
          <t>MLG Oz Ltd.</t>
        </is>
      </c>
      <c r="C281" s="25" t="inlineStr">
        <is>
          <t>Public</t>
        </is>
      </c>
      <c r="D281" s="25" t="inlineStr">
        <is>
          <t>Australia</t>
        </is>
      </c>
      <c r="E281" s="26" t="n">
        <v>2002</v>
      </c>
      <c r="F281" s="27" t="inlineStr">
        <is>
          <t>-</t>
        </is>
      </c>
      <c r="G281" s="28" t="n">
        <v>540.394</v>
      </c>
      <c r="H281" s="25" t="inlineStr">
        <is>
          <t>Pacific</t>
        </is>
      </c>
      <c r="I281" s="25" t="inlineStr">
        <is>
          <t>Western Australia (WA)</t>
        </is>
      </c>
      <c r="J281" s="28" t="n">
        <v>319.264007868746</v>
      </c>
      <c r="K281" s="25" t="inlineStr">
        <is>
          <t>MLG Oz Ltd. engages in the provision of haulage, site services, open pit mining services, and crushing and screening services. The company was founded by Murray Leahy in 2002 and is headquartered in Kalgoorlie, Australia.</t>
        </is>
      </c>
      <c r="L281" s="25" t="inlineStr">
        <is>
          <t>Specialty Contracting Services</t>
        </is>
      </c>
      <c r="M281" s="25" t="inlineStr">
        <is>
          <t>Facilities and Construction Services</t>
        </is>
      </c>
      <c r="N281" s="25" t="inlineStr">
        <is>
          <t>Industrial Services</t>
        </is>
      </c>
      <c r="O281" s="30" t="inlineStr">
        <is>
          <t>Industrial Specialty Engineering Contractors</t>
        </is>
      </c>
      <c r="P281" s="28" t="n">
        <v>212.109</v>
      </c>
      <c r="Q281" s="28" t="n">
        <v>64.9929986187534</v>
      </c>
      <c r="R281" s="28" t="n">
        <v>12.133</v>
      </c>
      <c r="S281" s="28" t="n">
        <v>12.0269655103499</v>
      </c>
      <c r="T281" s="28" t="n">
        <v>39.2508058934777</v>
      </c>
      <c r="U281" s="28" t="n">
        <v>2.24521367742795</v>
      </c>
    </row>
    <row r="282" ht="15" customHeight="1">
      <c r="A282" s="25" t="inlineStr">
        <is>
          <t>IGL-AU</t>
        </is>
      </c>
      <c r="B282" s="25" t="inlineStr">
        <is>
          <t>IVE Group Ltd.</t>
        </is>
      </c>
      <c r="C282" s="25" t="inlineStr">
        <is>
          <t>Public</t>
        </is>
      </c>
      <c r="D282" s="25" t="inlineStr">
        <is>
          <t>Australia</t>
        </is>
      </c>
      <c r="E282" s="26" t="n">
        <v>2015</v>
      </c>
      <c r="F282" s="27" t="n">
        <v>2000</v>
      </c>
      <c r="G282" s="28" t="n">
        <v>959.245</v>
      </c>
      <c r="H282" s="25" t="inlineStr">
        <is>
          <t>Pacific</t>
        </is>
      </c>
      <c r="I282" s="25" t="inlineStr">
        <is>
          <t>New South Wales (NSW)</t>
        </is>
      </c>
      <c r="J282" s="28" t="n">
        <v>663.858016361788</v>
      </c>
      <c r="K282" s="25" t="inlineStr">
        <is>
          <t>IVE Group Ltd. engages in the provision of communication solutions. Its services includes creative services, personalized communications, print production, retail display, promotional merchandising, third party sourcing, logistics and fulfilment and managed solutions. The company was founded in 1996 and is headquartered in Sydney, Australia.</t>
        </is>
      </c>
      <c r="L282" s="25" t="inlineStr">
        <is>
          <t>Marketing and Advertising Services</t>
        </is>
      </c>
      <c r="M282" s="25" t="inlineStr">
        <is>
          <t>Marketing and Printing Services</t>
        </is>
      </c>
      <c r="N282" s="25" t="inlineStr">
        <is>
          <t>Business Services</t>
        </is>
      </c>
      <c r="O282" s="30" t="inlineStr">
        <is>
          <t>Other Marketing and Advertising Services</t>
        </is>
      </c>
      <c r="P282" s="28" t="n">
        <v>251.806</v>
      </c>
      <c r="Q282" s="28" t="n">
        <v>136.033005586481</v>
      </c>
      <c r="R282" s="28" t="n">
        <v>46.708</v>
      </c>
      <c r="S282" s="28" t="n">
        <v>14.1812571345172</v>
      </c>
      <c r="T282" s="28" t="n">
        <v>26.2504365412382</v>
      </c>
      <c r="U282" s="28" t="n">
        <v>4.8692461258594</v>
      </c>
    </row>
    <row r="283" ht="15" customHeight="1">
      <c r="A283" s="25" t="inlineStr">
        <is>
          <t>SPG-AU</t>
        </is>
      </c>
      <c r="B283" s="25" t="inlineStr">
        <is>
          <t>SPC Global Holdings Ltd.</t>
        </is>
      </c>
      <c r="C283" s="25" t="inlineStr">
        <is>
          <t>Public</t>
        </is>
      </c>
      <c r="D283" s="25" t="inlineStr">
        <is>
          <t>Australia</t>
        </is>
      </c>
      <c r="E283" s="26" t="n">
        <v>2011</v>
      </c>
      <c r="F283" s="27" t="n">
        <v>5000</v>
      </c>
      <c r="G283" s="28" t="n">
        <v>319.984</v>
      </c>
      <c r="H283" s="25" t="inlineStr">
        <is>
          <t>Pacific</t>
        </is>
      </c>
      <c r="I283" s="25" t="inlineStr">
        <is>
          <t>Victoria (VIC)</t>
        </is>
      </c>
      <c r="J283" s="28" t="n">
        <v>535.596013200577</v>
      </c>
      <c r="K283" s="25" t="inlineStr">
        <is>
          <t>SPC Global Holdings Ltd. produces fruit &amp; vegetable juices and other products. It operates fruit and vegetable processing facilities in Victoria and New Zealand, manufacturing juices, fibres, infused fruits &amp; waters and bio-actives. The company was founded on March 23, 2011 and is headquartered in Mill Park, Australia.</t>
        </is>
      </c>
      <c r="L283" s="25" t="inlineStr">
        <is>
          <t>Beverages Production</t>
        </is>
      </c>
      <c r="M283" s="25" t="inlineStr">
        <is>
          <t>Food and Beverage Production</t>
        </is>
      </c>
      <c r="N283" s="25" t="inlineStr">
        <is>
          <t>Food and Tobacco Production</t>
        </is>
      </c>
      <c r="O283" s="30" t="inlineStr">
        <is>
          <t>Non-Alcoholic Beverage Production</t>
        </is>
      </c>
      <c r="P283" s="28" t="n">
        <v>64.5389999999999</v>
      </c>
      <c r="Q283" s="28" t="n">
        <v>9.11599367010607</v>
      </c>
      <c r="R283" s="28" t="n">
        <v>-41.143</v>
      </c>
      <c r="S283" s="28" t="n">
        <v>2.84889244462223</v>
      </c>
      <c r="T283" s="28" t="n">
        <v>20.1694459722986</v>
      </c>
      <c r="U283" s="28" t="n">
        <v>-12.8578303915196</v>
      </c>
    </row>
    <row r="284" ht="15" customHeight="1">
      <c r="A284" s="25" t="inlineStr">
        <is>
          <t>BRI-AU</t>
        </is>
      </c>
      <c r="B284" s="25" t="inlineStr">
        <is>
          <t>Big River Industries Ltd.</t>
        </is>
      </c>
      <c r="C284" s="25" t="inlineStr">
        <is>
          <t>Public</t>
        </is>
      </c>
      <c r="D284" s="25" t="inlineStr">
        <is>
          <t>Australia</t>
        </is>
      </c>
      <c r="E284" s="26" t="n">
        <v>2015</v>
      </c>
      <c r="F284" s="27" t="inlineStr">
        <is>
          <t>-</t>
        </is>
      </c>
      <c r="G284" s="28" t="n">
        <v>405.093</v>
      </c>
      <c r="H284" s="25" t="inlineStr">
        <is>
          <t>Pacific</t>
        </is>
      </c>
      <c r="I284" s="25" t="inlineStr">
        <is>
          <t>New South Wales (NSW)</t>
        </is>
      </c>
      <c r="J284" s="28" t="n">
        <v>258.347006367354</v>
      </c>
      <c r="K284" s="25" t="inlineStr">
        <is>
          <t>Big River Industries Ltd. operates through Big River Group Pty Ltd, which engages in the manufacture and distribution of timber and building products. It manufactures softwood and hardwood form ply and structural plywood products; sells consumable formwork products; and trades and associated building products to local trade, medium sized, and enterprise sized companies. The company was founded on December 18, 2015 and is headquartered in Junction Hill, Australia.</t>
        </is>
      </c>
      <c r="L284" s="25" t="inlineStr">
        <is>
          <t>Building Materials Distribution</t>
        </is>
      </c>
      <c r="M284" s="25" t="inlineStr">
        <is>
          <t>Diversified Industrials Distribution</t>
        </is>
      </c>
      <c r="N284" s="25" t="inlineStr">
        <is>
          <t>Industrial Services</t>
        </is>
      </c>
      <c r="O284" s="30" t="inlineStr">
        <is>
          <t>Building Materials Distribution</t>
        </is>
      </c>
      <c r="P284" s="28" t="n">
        <v>38.7689999999999</v>
      </c>
      <c r="Q284" s="28" t="n">
        <v>27.8480034077894</v>
      </c>
      <c r="R284" s="28" t="n">
        <v>-14.754</v>
      </c>
      <c r="S284" s="28" t="n">
        <v>6.87447080053222</v>
      </c>
      <c r="T284" s="28" t="n">
        <v>9.570394946345649</v>
      </c>
      <c r="U284" s="28" t="n">
        <v>-3.64212662277551</v>
      </c>
    </row>
    <row r="285" ht="15" customHeight="1">
      <c r="A285" s="25" t="inlineStr">
        <is>
          <t>NOL-AU</t>
        </is>
      </c>
      <c r="B285" s="25" t="inlineStr">
        <is>
          <t>Nobleoak Life Ltd.</t>
        </is>
      </c>
      <c r="C285" s="25" t="inlineStr">
        <is>
          <t>Public</t>
        </is>
      </c>
      <c r="D285" s="25" t="inlineStr">
        <is>
          <t>Australia</t>
        </is>
      </c>
      <c r="E285" s="26" t="n">
        <v>1902</v>
      </c>
      <c r="F285" s="27" t="inlineStr">
        <is>
          <t>-</t>
        </is>
      </c>
      <c r="G285" s="28" t="n">
        <v>476.446999999999</v>
      </c>
      <c r="H285" s="25" t="inlineStr">
        <is>
          <t>Pacific</t>
        </is>
      </c>
      <c r="I285" s="25" t="inlineStr">
        <is>
          <t>New South Wales (NSW)</t>
        </is>
      </c>
      <c r="J285" s="28" t="n">
        <v>567.292013981773</v>
      </c>
      <c r="K285" s="25" t="inlineStr">
        <is>
          <t>Nobleoak Life Ltd. engages in the manufacture and distribution of life insurance products. It operates through the following segments: Direct Business, Partnerships, and Genus. Its products include life insurance, income protection, TPD insurance, trauma insurance and business expenses. The company was founded in 1861 and is headquartered in Sydney, Australia.</t>
        </is>
      </c>
      <c r="L285" s="25" t="inlineStr">
        <is>
          <t>Life and Health Insurance</t>
        </is>
      </c>
      <c r="M285" s="25" t="inlineStr">
        <is>
          <t>Insurance</t>
        </is>
      </c>
      <c r="N285" s="25" t="inlineStr">
        <is>
          <t>Insurance</t>
        </is>
      </c>
      <c r="O285" s="30" t="inlineStr">
        <is>
          <t>Life and Health Insurance</t>
        </is>
      </c>
      <c r="P285" s="28" t="inlineStr">
        <is>
          <t>-</t>
        </is>
      </c>
      <c r="Q285" s="28" t="inlineStr">
        <is>
          <t>-</t>
        </is>
      </c>
      <c r="R285" s="28" t="n">
        <v>7.11599999999999</v>
      </c>
      <c r="S285" s="28" t="inlineStr">
        <is>
          <t>-</t>
        </is>
      </c>
      <c r="T285" s="28" t="inlineStr">
        <is>
          <t>-</t>
        </is>
      </c>
      <c r="U285" s="28" t="n">
        <v>1.49355542169433</v>
      </c>
    </row>
    <row r="286" ht="15" customHeight="1">
      <c r="A286" s="25" t="inlineStr">
        <is>
          <t>SSG-AU</t>
        </is>
      </c>
      <c r="B286" s="25" t="inlineStr">
        <is>
          <t>Shaver Shop Group Ltd.</t>
        </is>
      </c>
      <c r="C286" s="25" t="inlineStr">
        <is>
          <t>Public</t>
        </is>
      </c>
      <c r="D286" s="25" t="inlineStr">
        <is>
          <t>Australia</t>
        </is>
      </c>
      <c r="E286" s="26" t="n">
        <v>2011</v>
      </c>
      <c r="F286" s="27" t="n">
        <v>750</v>
      </c>
      <c r="G286" s="28" t="n">
        <v>218.598274</v>
      </c>
      <c r="H286" s="25" t="inlineStr">
        <is>
          <t>Pacific</t>
        </is>
      </c>
      <c r="I286" s="25" t="inlineStr">
        <is>
          <t>Victoria (VIC)</t>
        </is>
      </c>
      <c r="J286" s="28" t="n">
        <v>146.099804600851</v>
      </c>
      <c r="K286" s="25" t="inlineStr">
        <is>
          <t>Shaver Shop Group Ltd. engages in selling personal grooming products through their corporate and online stores. It offers oral care, hair care, massage, air treatment, and beauty products. The company was founded in 1986 and is headquartered in Chadstone, Australia.</t>
        </is>
      </c>
      <c r="L286" s="25" t="inlineStr">
        <is>
          <t>General Health and Personal Care Retail</t>
        </is>
      </c>
      <c r="M286" s="25" t="inlineStr">
        <is>
          <t>Health and Personal Care Retail</t>
        </is>
      </c>
      <c r="N286" s="25" t="inlineStr">
        <is>
          <t>Food and Staples Retail</t>
        </is>
      </c>
      <c r="O286" s="30" t="inlineStr">
        <is>
          <t>Mixed Health and Personal Care Stores</t>
        </is>
      </c>
      <c r="P286" s="28" t="n">
        <v>44.5174049999999</v>
      </c>
      <c r="Q286" s="28" t="n">
        <v>39.3687461178166</v>
      </c>
      <c r="R286" s="28" t="n">
        <v>14.9235599999999</v>
      </c>
      <c r="S286" s="28" t="n">
        <v>18.0096344219076</v>
      </c>
      <c r="T286" s="28" t="n">
        <v>20.3649389290237</v>
      </c>
      <c r="U286" s="28" t="n">
        <v>6.82693404980865</v>
      </c>
    </row>
    <row r="287" ht="15" customHeight="1">
      <c r="A287" s="25" t="inlineStr">
        <is>
          <t>KGN-AU</t>
        </is>
      </c>
      <c r="B287" s="25" t="inlineStr">
        <is>
          <t>Kogan.com Ltd.</t>
        </is>
      </c>
      <c r="C287" s="25" t="inlineStr">
        <is>
          <t>Public</t>
        </is>
      </c>
      <c r="D287" s="25" t="inlineStr">
        <is>
          <t>Australia</t>
        </is>
      </c>
      <c r="E287" s="26" t="n">
        <v>2006</v>
      </c>
      <c r="F287" s="27" t="inlineStr">
        <is>
          <t>-</t>
        </is>
      </c>
      <c r="G287" s="28" t="n">
        <v>487.948999999999</v>
      </c>
      <c r="H287" s="25" t="inlineStr">
        <is>
          <t>Pacific</t>
        </is>
      </c>
      <c r="I287" s="25" t="inlineStr">
        <is>
          <t>Victoria (VIC)</t>
        </is>
      </c>
      <c r="J287" s="28" t="n">
        <v>200.611004944362</v>
      </c>
      <c r="K287" s="25" t="inlineStr">
        <is>
          <t>Kogan.com Ltd. engages in the business of a portfolio of retail and services. It operates through the Kogan.com and Mighty Ape segments. The Kogan.com segment includes online retailing, marketplace selling in-house, and third-party brand products, providing memberships, generating platform-based revenue including seller fees for marketplace sellers, commission-based telecommunication, internet, insurance, utilities, and travel as well as advertising fees on advertising platform. The Mighty Ape segment is involved in online specialist retail of gaming and entertainment products. It also provides subscriptions and commission-based telecommunication services to customers. The company was founded by Ruslan Kogan in 2006 and is headquartered in South Melbourne, Australia.</t>
        </is>
      </c>
      <c r="L287" s="25" t="inlineStr">
        <is>
          <t>Department Stores</t>
        </is>
      </c>
      <c r="M287" s="25" t="inlineStr">
        <is>
          <t>General Merchandise Retail</t>
        </is>
      </c>
      <c r="N287" s="25" t="inlineStr">
        <is>
          <t>Food and Staples Retail</t>
        </is>
      </c>
      <c r="O287" s="30" t="inlineStr">
        <is>
          <t>Internet Department Stores</t>
        </is>
      </c>
      <c r="P287" s="28" t="n">
        <v>189.754</v>
      </c>
      <c r="Q287" s="28" t="n">
        <v>33.6029936120289</v>
      </c>
      <c r="R287" s="28" t="n">
        <v>-39.465</v>
      </c>
      <c r="S287" s="28" t="n">
        <v>6.88658035983269</v>
      </c>
      <c r="T287" s="28" t="n">
        <v>38.8880805166114</v>
      </c>
      <c r="U287" s="28" t="n">
        <v>-8.087935419480321</v>
      </c>
    </row>
    <row r="288" ht="15" customHeight="1">
      <c r="A288" s="25" t="inlineStr">
        <is>
          <t>WPR-AU</t>
        </is>
      </c>
      <c r="B288" s="25" t="inlineStr">
        <is>
          <t>Waypoint REIT Ltd.</t>
        </is>
      </c>
      <c r="C288" s="25" t="inlineStr">
        <is>
          <t>Public</t>
        </is>
      </c>
      <c r="D288" s="25" t="inlineStr">
        <is>
          <t>Australia</t>
        </is>
      </c>
      <c r="E288" s="26" t="n">
        <v>2016</v>
      </c>
      <c r="F288" s="27" t="inlineStr">
        <is>
          <t>-</t>
        </is>
      </c>
      <c r="G288" s="28" t="n">
        <v>165</v>
      </c>
      <c r="H288" s="25" t="inlineStr">
        <is>
          <t>Pacific</t>
        </is>
      </c>
      <c r="I288" s="25" t="inlineStr">
        <is>
          <t>Victoria (VIC)</t>
        </is>
      </c>
      <c r="J288" s="28" t="n">
        <v>2824.99991237343</v>
      </c>
      <c r="K288" s="25" t="inlineStr">
        <is>
          <t>Waypoint REIT Ltd. is a real investment trust fund, which engages in property leasing and investment. It has 425 services stations located through Australian States and Territories. The company was founded on June 14, 2016 and is headquartered in Docklands, Australia.</t>
        </is>
      </c>
      <c r="L288" s="25" t="inlineStr">
        <is>
          <t>Equity REITs</t>
        </is>
      </c>
      <c r="M288" s="25" t="inlineStr">
        <is>
          <t>Real Estate Investment Trusts (REITs)</t>
        </is>
      </c>
      <c r="N288" s="25" t="inlineStr">
        <is>
          <t>Real Estate</t>
        </is>
      </c>
      <c r="O288" s="30" t="inlineStr">
        <is>
          <t>Equity REITs</t>
        </is>
      </c>
      <c r="P288" s="28" t="n">
        <v>155.099999999999</v>
      </c>
      <c r="Q288" s="28" t="n">
        <v>148.70000069601</v>
      </c>
      <c r="R288" s="28" t="n">
        <v>131.5</v>
      </c>
      <c r="S288" s="28" t="n">
        <v>90.1212121212121</v>
      </c>
      <c r="T288" s="28" t="n">
        <v>94</v>
      </c>
      <c r="U288" s="28" t="n">
        <v>79.6969696969697</v>
      </c>
    </row>
    <row r="289" ht="15" customHeight="1">
      <c r="A289" s="25" t="inlineStr">
        <is>
          <t>MHJ-AU</t>
        </is>
      </c>
      <c r="B289" s="25" t="inlineStr">
        <is>
          <t>Michael Hill International Ltd.</t>
        </is>
      </c>
      <c r="C289" s="25" t="inlineStr">
        <is>
          <t>Public</t>
        </is>
      </c>
      <c r="D289" s="25" t="inlineStr">
        <is>
          <t>Australia</t>
        </is>
      </c>
      <c r="E289" s="26" t="n">
        <v>2016</v>
      </c>
      <c r="F289" s="27" t="inlineStr">
        <is>
          <t>-</t>
        </is>
      </c>
      <c r="G289" s="28" t="n">
        <v>643.655000004193</v>
      </c>
      <c r="H289" s="25" t="inlineStr">
        <is>
          <t>Pacific</t>
        </is>
      </c>
      <c r="I289" s="25" t="inlineStr">
        <is>
          <t>Queensland (QLD)</t>
        </is>
      </c>
      <c r="J289" s="28" t="n">
        <v>518.395012780472</v>
      </c>
      <c r="K289" s="25" t="inlineStr">
        <is>
          <t>Michael Hill International Ltd. engages in the retail sale of jewellery and related services. It offers rings, charms, watches, and gifts. It operates through the following geographical segments: Australia, New Zealand, Canada, and Corporate and Other. The Corporate and Other segment focuses on revenue and expenses that do not relate directly to the relevant Michael Hill Group retail segments. The company was founded by Richard Michael Hill and Ann Christine Lady-Hill in 1979 and is headquartered in Cannon Hill, Australia.</t>
        </is>
      </c>
      <c r="L289" s="25" t="inlineStr">
        <is>
          <t>Accessories Retail</t>
        </is>
      </c>
      <c r="M289" s="25" t="inlineStr">
        <is>
          <t>Apparel and Accessories Retail</t>
        </is>
      </c>
      <c r="N289" s="25" t="inlineStr">
        <is>
          <t>Consumer Retail</t>
        </is>
      </c>
      <c r="O289" s="30" t="inlineStr">
        <is>
          <t>Jewelry Stores</t>
        </is>
      </c>
      <c r="P289" s="28" t="n">
        <v>144.046000000938</v>
      </c>
      <c r="Q289" s="28" t="n">
        <v>93.49399733856011</v>
      </c>
      <c r="R289" s="28" t="n">
        <v>2.09900000001367</v>
      </c>
      <c r="S289" s="28" t="n">
        <v>14.5254833722089</v>
      </c>
      <c r="T289" s="28" t="n">
        <v>22.3793802580575</v>
      </c>
      <c r="U289" s="28" t="n">
        <v>0.326106376863381</v>
      </c>
    </row>
    <row r="290" ht="15" customHeight="1">
      <c r="A290" s="25" t="inlineStr">
        <is>
          <t>QOR-AU</t>
        </is>
      </c>
      <c r="B290" s="25" t="inlineStr">
        <is>
          <t>Qoria Ltd.</t>
        </is>
      </c>
      <c r="C290" s="25" t="inlineStr">
        <is>
          <t>Public</t>
        </is>
      </c>
      <c r="D290" s="25" t="inlineStr">
        <is>
          <t>Australia</t>
        </is>
      </c>
      <c r="E290" s="26" t="n">
        <v>2014</v>
      </c>
      <c r="F290" s="27" t="n">
        <v>600</v>
      </c>
      <c r="G290" s="28" t="n">
        <v>117.290569999999</v>
      </c>
      <c r="H290" s="25" t="inlineStr">
        <is>
          <t>Pacific</t>
        </is>
      </c>
      <c r="I290" s="25" t="inlineStr">
        <is>
          <t>Western Australia (WA)</t>
        </is>
      </c>
      <c r="J290" s="28" t="n">
        <v>333.435478218023</v>
      </c>
      <c r="K290" s="25" t="inlineStr">
        <is>
          <t>Qoria Ltd. engages in the development of parental control platform. It intends to create a system that manages the majority of the parental control functions in a cloud-based application. The company was founded by Timothy David Levy, Ben Trigger, Paul Robinson, and Crispin Marcel Swan in 2014 and is headquartered in West Perth, Australia.</t>
        </is>
      </c>
      <c r="L290" s="25" t="inlineStr">
        <is>
          <t>IT Infrastructure Software</t>
        </is>
      </c>
      <c r="M290" s="25" t="inlineStr">
        <is>
          <t>Software</t>
        </is>
      </c>
      <c r="N290" s="25" t="inlineStr">
        <is>
          <t>Software and Consulting</t>
        </is>
      </c>
      <c r="O290" s="30" t="inlineStr">
        <is>
          <t>Network Infrastructure Software</t>
        </is>
      </c>
      <c r="P290" s="28" t="n">
        <v>-20.6865889999999</v>
      </c>
      <c r="Q290" s="28" t="n">
        <v>4.06578752880626</v>
      </c>
      <c r="R290" s="28" t="n">
        <v>-35.953446</v>
      </c>
      <c r="S290" s="28" t="n">
        <v>3.46642530597302</v>
      </c>
      <c r="T290" s="28" t="n">
        <v>-17.6370436259283</v>
      </c>
      <c r="U290" s="28" t="n">
        <v>-30.6533133908378</v>
      </c>
    </row>
    <row r="291" ht="15" customHeight="1">
      <c r="A291" s="25" t="inlineStr">
        <is>
          <t>CLW-AU</t>
        </is>
      </c>
      <c r="B291" s="25" t="inlineStr">
        <is>
          <t>Charter Hall Long WALE REIT</t>
        </is>
      </c>
      <c r="C291" s="25" t="inlineStr">
        <is>
          <t>Public</t>
        </is>
      </c>
      <c r="D291" s="25" t="inlineStr">
        <is>
          <t>Australia</t>
        </is>
      </c>
      <c r="E291" s="26" t="n">
        <v>1991</v>
      </c>
      <c r="F291" s="27" t="inlineStr">
        <is>
          <t>-</t>
        </is>
      </c>
      <c r="G291" s="28" t="n">
        <v>183.621999999999</v>
      </c>
      <c r="H291" s="25" t="inlineStr">
        <is>
          <t>Pacific</t>
        </is>
      </c>
      <c r="I291" s="25" t="inlineStr">
        <is>
          <t>New South Wales (NSW)</t>
        </is>
      </c>
      <c r="J291" s="28" t="n">
        <v>4929.56812149669</v>
      </c>
      <c r="K291" s="25" t="inlineStr">
        <is>
          <t>Charter Hall Long WALE REIT engages in the operation of real estate investment trust companies. It operates through the following segments: Property Investments, Development Investments, and Funds Management. The Property Investments segment consists of property funds. The Development Investments segment includes investments in developments. The Funds Managements segment refers to the investment management services and property management services. The company was founded in 1991 and is headquartered in Sydney, Australia.</t>
        </is>
      </c>
      <c r="L291" s="25" t="inlineStr">
        <is>
          <t>Equity REITs</t>
        </is>
      </c>
      <c r="M291" s="25" t="inlineStr">
        <is>
          <t>Real Estate Investment Trusts (REITs)</t>
        </is>
      </c>
      <c r="N291" s="25" t="inlineStr">
        <is>
          <t>Real Estate</t>
        </is>
      </c>
      <c r="O291" s="30" t="inlineStr">
        <is>
          <t>Equity REITs</t>
        </is>
      </c>
      <c r="P291" s="28" t="n">
        <v>126.479</v>
      </c>
      <c r="Q291" s="28" t="n">
        <v>90.36300139616969</v>
      </c>
      <c r="R291" s="28" t="n">
        <v>118.283</v>
      </c>
      <c r="S291" s="28" t="n">
        <v>49.2114234677762</v>
      </c>
      <c r="T291" s="28" t="n">
        <v>68.8800906209496</v>
      </c>
      <c r="U291" s="28" t="n">
        <v>64.416573177506</v>
      </c>
    </row>
    <row r="292" ht="15" customHeight="1">
      <c r="A292" s="25" t="inlineStr">
        <is>
          <t>ING-AU</t>
        </is>
      </c>
      <c r="B292" s="25" t="inlineStr">
        <is>
          <t>Inghams Group Ltd.</t>
        </is>
      </c>
      <c r="C292" s="25" t="inlineStr">
        <is>
          <t>Public</t>
        </is>
      </c>
      <c r="D292" s="25" t="inlineStr">
        <is>
          <t>Australia</t>
        </is>
      </c>
      <c r="E292" s="26" t="n">
        <v>2013</v>
      </c>
      <c r="F292" s="27" t="inlineStr">
        <is>
          <t>-</t>
        </is>
      </c>
      <c r="G292" s="28" t="n">
        <v>3152.54447627261</v>
      </c>
      <c r="H292" s="25" t="inlineStr">
        <is>
          <t>Pacific</t>
        </is>
      </c>
      <c r="I292" s="25" t="inlineStr">
        <is>
          <t>New South Wales (NSW)</t>
        </is>
      </c>
      <c r="J292" s="28" t="n">
        <v>2373.53560537438</v>
      </c>
      <c r="K292" s="25" t="inlineStr">
        <is>
          <t>Inghams Group Ltd. engages in the production and sale of chicken and turkey products. It operates through the Australia and New Zealand geographical segment. The company was founded in 1918 and is headquartered in North Ryde, Australia.</t>
        </is>
      </c>
      <c r="L292" s="25" t="inlineStr">
        <is>
          <t>Food Production</t>
        </is>
      </c>
      <c r="M292" s="25" t="inlineStr">
        <is>
          <t>Food and Beverage Production</t>
        </is>
      </c>
      <c r="N292" s="25" t="inlineStr">
        <is>
          <t>Food and Tobacco Production</t>
        </is>
      </c>
      <c r="O292" s="30" t="inlineStr">
        <is>
          <t>Meat and Seafood Production</t>
        </is>
      </c>
      <c r="P292" s="28" t="n">
        <v>581.726659639569</v>
      </c>
      <c r="Q292" s="28" t="n">
        <v>390.917909362914</v>
      </c>
      <c r="R292" s="28" t="n">
        <v>89.80411558472299</v>
      </c>
      <c r="S292" s="28" t="n">
        <v>12.4000761324705</v>
      </c>
      <c r="T292" s="28" t="n">
        <v>18.4526075371146</v>
      </c>
      <c r="U292" s="28" t="n">
        <v>2.84862327115848</v>
      </c>
    </row>
    <row r="293" ht="15" customHeight="1">
      <c r="A293" s="25" t="inlineStr">
        <is>
          <t>ASG-AU</t>
        </is>
      </c>
      <c r="B293" s="25" t="inlineStr">
        <is>
          <t>Autosports Group Ltd.</t>
        </is>
      </c>
      <c r="C293" s="25" t="inlineStr">
        <is>
          <t>Public</t>
        </is>
      </c>
      <c r="D293" s="25" t="inlineStr">
        <is>
          <t>Australia</t>
        </is>
      </c>
      <c r="E293" s="26" t="n">
        <v>2006</v>
      </c>
      <c r="F293" s="27" t="inlineStr">
        <is>
          <t>-</t>
        </is>
      </c>
      <c r="G293" s="28" t="n">
        <v>2864.45199999999</v>
      </c>
      <c r="H293" s="25" t="inlineStr">
        <is>
          <t>Pacific</t>
        </is>
      </c>
      <c r="I293" s="25" t="inlineStr">
        <is>
          <t>New South Wales (NSW)</t>
        </is>
      </c>
      <c r="J293" s="28" t="n">
        <v>1885.57804647293</v>
      </c>
      <c r="K293" s="25" t="inlineStr">
        <is>
          <t>Autosports Group Ltd. engages in the sale of new and used motor vehicles. It also involves in the distribution of finance and insurance products on behalf of retail financiers and automotive insurers, sale of aftermarket products and spare parts, motor vehicle servicing, and collision repair services. The company was founded by Nicholas Pagent and James Pagent in 2006 and is headquartered in Leichardt, Australia.</t>
        </is>
      </c>
      <c r="L293" s="25" t="inlineStr">
        <is>
          <t>Motor Vehicle Sales</t>
        </is>
      </c>
      <c r="M293" s="25" t="inlineStr">
        <is>
          <t>Auto Retail</t>
        </is>
      </c>
      <c r="N293" s="25" t="inlineStr">
        <is>
          <t>Miscellaneous Retail</t>
        </is>
      </c>
      <c r="O293" s="30" t="inlineStr">
        <is>
          <t>Automobile Dealers</t>
        </is>
      </c>
      <c r="P293" s="28" t="n">
        <v>224.833999999999</v>
      </c>
      <c r="Q293" s="28" t="n">
        <v>170.684003403222</v>
      </c>
      <c r="R293" s="28" t="n">
        <v>32.8589999999999</v>
      </c>
      <c r="S293" s="28" t="n">
        <v>5.9586964627091</v>
      </c>
      <c r="T293" s="28" t="n">
        <v>7.84911040576</v>
      </c>
      <c r="U293" s="28" t="n">
        <v>1.14713041098262</v>
      </c>
    </row>
    <row r="294" ht="15" customHeight="1">
      <c r="A294" s="25" t="inlineStr">
        <is>
          <t>LU7-AU</t>
        </is>
      </c>
      <c r="B294" s="25" t="inlineStr">
        <is>
          <t>Lithium Universe Ltd.</t>
        </is>
      </c>
      <c r="C294" s="25" t="inlineStr">
        <is>
          <t>Public</t>
        </is>
      </c>
      <c r="D294" s="25" t="inlineStr">
        <is>
          <t>Australia</t>
        </is>
      </c>
      <c r="E294" s="26" t="n">
        <v>2011</v>
      </c>
      <c r="F294" s="27" t="n">
        <v>55000</v>
      </c>
      <c r="G294" s="28" t="n">
        <v>0</v>
      </c>
      <c r="H294" s="25" t="inlineStr">
        <is>
          <t>Pacific</t>
        </is>
      </c>
      <c r="I294" s="25" t="inlineStr">
        <is>
          <t>Victoria (VIC)</t>
        </is>
      </c>
      <c r="J294" s="28" t="n">
        <v>6.50983479807626</v>
      </c>
      <c r="K294" s="25" t="inlineStr">
        <is>
          <t>Lithium Universe Ltd. engages in the business of design and development of its online media platform. It operates through the eSports and Unallocated segments. The eSports segment includes equity investments and intangible assets and all expenses related to the eSports business. The Unallocated segment includes treasury, corporate and regular expenses arising from operating an entity, corporate assets, including cash and cash equivalents The company was founded on January 20, 2011 and is headquartered in Melbourne, Australia.</t>
        </is>
      </c>
      <c r="L294" s="25" t="inlineStr">
        <is>
          <t>Base Metal Mining</t>
        </is>
      </c>
      <c r="M294" s="25" t="inlineStr">
        <is>
          <t>Metal Ore Mining</t>
        </is>
      </c>
      <c r="N294" s="25" t="inlineStr">
        <is>
          <t>Mining and Mineral Products</t>
        </is>
      </c>
      <c r="O294" s="30" t="inlineStr">
        <is>
          <t>Lithium Ore Mining</t>
        </is>
      </c>
      <c r="P294" s="28" t="n">
        <v>-0.00135599999999999</v>
      </c>
      <c r="Q294" s="28" t="n">
        <v>-8.65557637338806</v>
      </c>
      <c r="R294" s="28" t="n">
        <v>-11.233056</v>
      </c>
      <c r="S294" s="28" t="inlineStr">
        <is>
          <t>-</t>
        </is>
      </c>
      <c r="T294" s="28" t="inlineStr">
        <is>
          <t>-</t>
        </is>
      </c>
      <c r="U294" s="28" t="inlineStr">
        <is>
          <t>-</t>
        </is>
      </c>
    </row>
    <row r="295" ht="15" customHeight="1">
      <c r="A295" s="25" t="inlineStr">
        <is>
          <t>VNT-AU</t>
        </is>
      </c>
      <c r="B295" s="25" t="inlineStr">
        <is>
          <t>Ventia Services Group Ltd.</t>
        </is>
      </c>
      <c r="C295" s="25" t="inlineStr">
        <is>
          <t>Public</t>
        </is>
      </c>
      <c r="D295" s="25" t="inlineStr">
        <is>
          <t>Australia</t>
        </is>
      </c>
      <c r="E295" s="26" t="n">
        <v>2014</v>
      </c>
      <c r="F295" s="27" t="n">
        <v>35000</v>
      </c>
      <c r="G295" s="28" t="n">
        <v>6105.49999999999</v>
      </c>
      <c r="H295" s="25" t="inlineStr">
        <is>
          <t>Pacific</t>
        </is>
      </c>
      <c r="I295" s="25" t="inlineStr">
        <is>
          <t>New South Wales (NSW)</t>
        </is>
      </c>
      <c r="J295" s="28" t="n">
        <v>2941.79990875049</v>
      </c>
      <c r="K295" s="25" t="inlineStr">
        <is>
          <t>Ventia Services Group Ltd. is an essential infrastructure services provider. It provides the services across a diverse range of industry segments through long-term contracts with government agencies and blue-chip organizations. It operates through the following segments: Defence &amp; Social Infrastructure, Infrastructure Services, Telecommunications, and Transport. The Defence &amp; Social Infrastructure segment offers a range of maintenance and support services across the defense, social infrastructure, local government, property, and critical infrastructure business units. The Infrastructure Services segment supports the ongoing maintenance of infrastructure such as utility infrastructure, mine operation facilities, gas wells and other industrial facilities. The Telecommunications segment covers end-to-end service capability that span design, supply, minor construction, installation, commissioning, and maintenance of telecommunications networks and infrastructure. The Transport segment involves maintenance, project delivery, and technology solutions for owners and operators of road, motorway, tunnel, and rail networks. The company was founded in 1956 and is headquartered in North Sydney, Australia.</t>
        </is>
      </c>
      <c r="L295" s="25" t="inlineStr">
        <is>
          <t>Infrastructure Construction/Contracting Services</t>
        </is>
      </c>
      <c r="M295" s="25" t="inlineStr">
        <is>
          <t>Facilities and Construction Services</t>
        </is>
      </c>
      <c r="N295" s="25" t="inlineStr">
        <is>
          <t>Industrial Services</t>
        </is>
      </c>
      <c r="O295" s="30" t="inlineStr">
        <is>
          <t>Infrastructure Construction</t>
        </is>
      </c>
      <c r="P295" s="28" t="n">
        <v>582.7</v>
      </c>
      <c r="Q295" s="28" t="n">
        <v>496.199998030221</v>
      </c>
      <c r="R295" s="28" t="n">
        <v>220.2</v>
      </c>
      <c r="S295" s="28" t="n">
        <v>8.12709851772992</v>
      </c>
      <c r="T295" s="28" t="n">
        <v>9.543853902219309</v>
      </c>
      <c r="U295" s="28" t="n">
        <v>3.60658422733601</v>
      </c>
    </row>
    <row r="296" ht="15" customHeight="1">
      <c r="A296" s="25" t="inlineStr">
        <is>
          <t>MAF-AU</t>
        </is>
      </c>
      <c r="B296" s="25" t="inlineStr">
        <is>
          <t>MA Financial Group Ltd.</t>
        </is>
      </c>
      <c r="C296" s="25" t="inlineStr">
        <is>
          <t>Public</t>
        </is>
      </c>
      <c r="D296" s="25" t="inlineStr">
        <is>
          <t>Australia</t>
        </is>
      </c>
      <c r="E296" s="26" t="n">
        <v>2010</v>
      </c>
      <c r="F296" s="27" t="n">
        <v>700</v>
      </c>
      <c r="G296" s="28" t="n">
        <v>1209.27099999999</v>
      </c>
      <c r="H296" s="25" t="inlineStr">
        <is>
          <t>Pacific</t>
        </is>
      </c>
      <c r="I296" s="25" t="inlineStr">
        <is>
          <t>New South Wales (NSW)</t>
        </is>
      </c>
      <c r="J296" s="28" t="n">
        <v>6035.10081280169</v>
      </c>
      <c r="K296" s="25" t="inlineStr">
        <is>
          <t>MA Financial Group Ltd. operates as a diversified financial services group. It operates through the following segments: Corporate Advisory and Equities, Asset Management, and Lending and Technology. The Corporate Advisory and Equities segment provides strategic and financial advice and equity capital markets services to sophisticated and corporate clients; and offers research, sales and trading execution services to institutional and high net worth clients. The Asset Management segment delivers investment management services to domestic and foreign high net worth and institutional investors. The company was founded in 2009 and is headquartered in Sydney, Australia.</t>
        </is>
      </c>
      <c r="L296" s="25" t="inlineStr">
        <is>
          <t>Asset Management and Financial Advisory Services</t>
        </is>
      </c>
      <c r="M296" s="25" t="inlineStr">
        <is>
          <t>Investment Services</t>
        </is>
      </c>
      <c r="N296" s="25" t="inlineStr">
        <is>
          <t>Investment Services</t>
        </is>
      </c>
      <c r="O296" s="30" t="inlineStr">
        <is>
          <t>Institutional and High-Net Advisory Services</t>
        </is>
      </c>
      <c r="P296" s="28" t="n">
        <v>549.113999999999</v>
      </c>
      <c r="Q296" s="28" t="n">
        <v>318.057004897476</v>
      </c>
      <c r="R296" s="28" t="n">
        <v>41.793</v>
      </c>
      <c r="S296" s="28" t="n">
        <v>26.3015486189613</v>
      </c>
      <c r="T296" s="28" t="n">
        <v>45.4086801056173</v>
      </c>
      <c r="U296" s="28" t="n">
        <v>3.45604914034985</v>
      </c>
    </row>
    <row r="297" ht="15" customHeight="1">
      <c r="A297" s="25" t="inlineStr">
        <is>
          <t>PPM-AU</t>
        </is>
      </c>
      <c r="B297" s="25" t="inlineStr">
        <is>
          <t>Pepper Money Ltd.</t>
        </is>
      </c>
      <c r="C297" s="25" t="inlineStr">
        <is>
          <t>Public</t>
        </is>
      </c>
      <c r="D297" s="25" t="inlineStr">
        <is>
          <t>Australia</t>
        </is>
      </c>
      <c r="E297" s="26" t="n">
        <v>2000</v>
      </c>
      <c r="F297" s="27" t="n">
        <v>795</v>
      </c>
      <c r="G297" s="28" t="n">
        <v>1580.1</v>
      </c>
      <c r="H297" s="25" t="inlineStr">
        <is>
          <t>Pacific</t>
        </is>
      </c>
      <c r="I297" s="25" t="inlineStr">
        <is>
          <t>New South Wales (NSW)</t>
        </is>
      </c>
      <c r="J297" s="28" t="n">
        <v>17472.3994580366</v>
      </c>
      <c r="K297" s="25" t="inlineStr">
        <is>
          <t>Pepper Money Ltd. engages in the provision of home loan, car loan, and personal loan solutions for borrowers. It operates through the following business segments: Mortgages, Asset Finance and Loan, and Other Servicing. The Mortgages segment includes both residential mortgages in Australia and New Zealand. The Asset Finance and Loan segment comprises of the the income and expenses associated with the origination and ongoing ownership of loans secured over a range of assets, including used and new cars, caravans, motor bikes and boats, and equipment finance. The Loan and Other Servicing segment consists of the income and expenses associated with the servicing of loan portfolios for third parties, and for pepper money controlled limited recourse funding vehicles. Its services include lending, asset finance, third party servicing, debt investor, and broker portal. Pepper Money was founded by Michael Culhane on August 30, 2000 and is headquartered in North Sydney, Australia.</t>
        </is>
      </c>
      <c r="L297" s="25" t="inlineStr">
        <is>
          <t>Mortgage Banking</t>
        </is>
      </c>
      <c r="M297" s="25" t="inlineStr">
        <is>
          <t>Mortgage Banking</t>
        </is>
      </c>
      <c r="N297" s="25" t="inlineStr">
        <is>
          <t>Banking</t>
        </is>
      </c>
      <c r="O297" s="30" t="inlineStr">
        <is>
          <t>Other Mortgage Banking Services</t>
        </is>
      </c>
      <c r="P297" s="28" t="n">
        <v>1531.19999999999</v>
      </c>
      <c r="Q297" s="28" t="n">
        <v>1359.89999171424</v>
      </c>
      <c r="R297" s="28" t="n">
        <v>98.8</v>
      </c>
      <c r="S297" s="28" t="n">
        <v>86.06417315359791</v>
      </c>
      <c r="T297" s="28" t="n">
        <v>96.90525916081261</v>
      </c>
      <c r="U297" s="28" t="n">
        <v>6.2527688121005</v>
      </c>
    </row>
    <row r="298" ht="15" customHeight="1">
      <c r="A298" s="25" t="inlineStr">
        <is>
          <t>TLX-AU</t>
        </is>
      </c>
      <c r="B298" s="25" t="inlineStr">
        <is>
          <t>Telix Pharmaceuticals Ltd.</t>
        </is>
      </c>
      <c r="C298" s="25" t="inlineStr">
        <is>
          <t>Public</t>
        </is>
      </c>
      <c r="D298" s="25" t="inlineStr">
        <is>
          <t>Australia</t>
        </is>
      </c>
      <c r="E298" s="26" t="n">
        <v>2017</v>
      </c>
      <c r="F298" s="27" t="inlineStr">
        <is>
          <t>-</t>
        </is>
      </c>
      <c r="G298" s="28" t="n">
        <v>783.206999999999</v>
      </c>
      <c r="H298" s="25" t="inlineStr">
        <is>
          <t>Pacific</t>
        </is>
      </c>
      <c r="I298" s="25" t="inlineStr">
        <is>
          <t>Victoria (VIC)</t>
        </is>
      </c>
      <c r="J298" s="28" t="n">
        <v>1526.19395266012</v>
      </c>
      <c r="K298" s="25" t="inlineStr">
        <is>
          <t>Telix Pharmaceuticals Limited. engages in the development and commercialization of several clinical-stage oncology assets. It operates through the following segments: Commercial, Product Development, and Group and Unallocated. The Commercial segment includes sales of Illuccix and other products subsequent to obtaining regulatory approvals. The Product Development segment develops radiopharmaceutical products for commercialization. It focuses on cancer care, specifically in prostate, renal or kidney and glioblastoma or brain cancer. Its products include TLX250, TLX591, and TLX101. The company was founded by Andreas Kluge and Christian P. Behrenbruch in November 2015 and is headquartered in Melbourne, Australia.</t>
        </is>
      </c>
      <c r="L298" s="25" t="inlineStr">
        <is>
          <t>Specialized Medical Devices</t>
        </is>
      </c>
      <c r="M298" s="25" t="inlineStr">
        <is>
          <t>Other Medical Devices</t>
        </is>
      </c>
      <c r="N298" s="25" t="inlineStr">
        <is>
          <t>Healthcare Equipment</t>
        </is>
      </c>
      <c r="O298" s="30" t="inlineStr">
        <is>
          <t>Other Specialized Medical Devices</t>
        </is>
      </c>
      <c r="P298" s="28" t="n">
        <v>510.347</v>
      </c>
      <c r="Q298" s="28" t="n">
        <v>90.2019939403044</v>
      </c>
      <c r="R298" s="28" t="n">
        <v>49.9189999999999</v>
      </c>
      <c r="S298" s="28" t="n">
        <v>11.5170063597491</v>
      </c>
      <c r="T298" s="28" t="n">
        <v>65.1611898259336</v>
      </c>
      <c r="U298" s="28" t="n">
        <v>6.37366622106289</v>
      </c>
    </row>
    <row r="299" ht="15" customHeight="1">
      <c r="A299" s="25" t="inlineStr">
        <is>
          <t>NTD-AU</t>
        </is>
      </c>
      <c r="B299" s="25" t="inlineStr">
        <is>
          <t>NTAW Holdings Ltd.</t>
        </is>
      </c>
      <c r="C299" s="25" t="inlineStr">
        <is>
          <t>Public</t>
        </is>
      </c>
      <c r="D299" s="25" t="inlineStr">
        <is>
          <t>Australia</t>
        </is>
      </c>
      <c r="E299" s="26" t="n">
        <v>2001</v>
      </c>
      <c r="F299" s="27" t="inlineStr">
        <is>
          <t>-</t>
        </is>
      </c>
      <c r="G299" s="28" t="n">
        <v>538.152999999999</v>
      </c>
      <c r="H299" s="25" t="inlineStr">
        <is>
          <t>Pacific</t>
        </is>
      </c>
      <c r="I299" s="25" t="inlineStr">
        <is>
          <t>Queensland (QLD)</t>
        </is>
      </c>
      <c r="J299" s="28" t="n">
        <v>354.098008727282</v>
      </c>
      <c r="K299" s="25" t="inlineStr">
        <is>
          <t>NTAW Holdings Ltd. is a tyre and wheel wholesaler carrying on business through subsidiaries and controlled entities in Australia, New Zealand, and South Africa. The company was founded by Terence Smith and Susanne Smith in 1989 and is headquartered in Moorooka, Australia.</t>
        </is>
      </c>
      <c r="L299" s="25" t="inlineStr">
        <is>
          <t>Motor Vehicles and Parts Sales and Rental</t>
        </is>
      </c>
      <c r="M299" s="25" t="inlineStr">
        <is>
          <t>Auto Retail</t>
        </is>
      </c>
      <c r="N299" s="25" t="inlineStr">
        <is>
          <t>Miscellaneous Retail</t>
        </is>
      </c>
      <c r="O299" s="30" t="inlineStr">
        <is>
          <t>Automotive Parts, Accessories and Tires Sales</t>
        </is>
      </c>
      <c r="P299" s="28" t="n">
        <v>39.7639999999999</v>
      </c>
      <c r="Q299" s="28" t="n">
        <v>26.3939963954597</v>
      </c>
      <c r="R299" s="28" t="n">
        <v>-43.7589999999999</v>
      </c>
      <c r="S299" s="28" t="n">
        <v>4.90455316610704</v>
      </c>
      <c r="T299" s="28" t="n">
        <v>7.38897674081534</v>
      </c>
      <c r="U299" s="28" t="n">
        <v>-8.13133068105167</v>
      </c>
    </row>
    <row r="300" ht="15" customHeight="1">
      <c r="A300" s="25" t="inlineStr">
        <is>
          <t>PPE-AU</t>
        </is>
      </c>
      <c r="B300" s="25" t="inlineStr">
        <is>
          <t>PeopleIn Ltd.</t>
        </is>
      </c>
      <c r="C300" s="25" t="inlineStr">
        <is>
          <t>Public</t>
        </is>
      </c>
      <c r="D300" s="25" t="inlineStr">
        <is>
          <t>Australia</t>
        </is>
      </c>
      <c r="E300" s="26" t="n">
        <v>2016</v>
      </c>
      <c r="F300" s="27" t="inlineStr">
        <is>
          <t>-</t>
        </is>
      </c>
      <c r="G300" s="28" t="n">
        <v>1098.00799999999</v>
      </c>
      <c r="H300" s="25" t="inlineStr">
        <is>
          <t>Pacific</t>
        </is>
      </c>
      <c r="I300" s="25" t="inlineStr">
        <is>
          <t>Queensland (QLD)</t>
        </is>
      </c>
      <c r="J300" s="28" t="n">
        <v>367.271009051951</v>
      </c>
      <c r="K300" s="25" t="inlineStr">
        <is>
          <t>PeopleIn Ltd. engages in the provision of staffing, and business and operational services. It operates through the following segments: Industrial and Specialist Services, Health and Community, and Professional Services. The company was founded by Declan Sherman and Thomas Reardon in October 1996 and is headquartered in Fortitude Valley, Australia.</t>
        </is>
      </c>
      <c r="L300" s="25" t="inlineStr">
        <is>
          <t>Administrative Services</t>
        </is>
      </c>
      <c r="M300" s="25" t="inlineStr">
        <is>
          <t>Other Professional Services</t>
        </is>
      </c>
      <c r="N300" s="25" t="inlineStr">
        <is>
          <t>Business Services</t>
        </is>
      </c>
      <c r="O300" s="30" t="inlineStr">
        <is>
          <t>Administrative Employment Services</t>
        </is>
      </c>
      <c r="P300" s="28" t="n">
        <v>1080.85899999999</v>
      </c>
      <c r="Q300" s="28" t="n">
        <v>28.7019928076887</v>
      </c>
      <c r="R300" s="28" t="n">
        <v>-12.7639999999999</v>
      </c>
      <c r="S300" s="28" t="n">
        <v>2.61400645532637</v>
      </c>
      <c r="T300" s="28" t="n">
        <v>98.43817167088039</v>
      </c>
      <c r="U300" s="28" t="n">
        <v>-1.16246876161194</v>
      </c>
    </row>
    <row r="301" ht="15" customHeight="1">
      <c r="A301" s="25" t="inlineStr">
        <is>
          <t>WGN-AU</t>
        </is>
      </c>
      <c r="B301" s="25" t="inlineStr">
        <is>
          <t>Wagners Holding Co. Ltd.</t>
        </is>
      </c>
      <c r="C301" s="25" t="inlineStr">
        <is>
          <t>Public</t>
        </is>
      </c>
      <c r="D301" s="25" t="inlineStr">
        <is>
          <t>Australia</t>
        </is>
      </c>
      <c r="E301" s="26" t="n">
        <v>2017</v>
      </c>
      <c r="F301" s="27" t="inlineStr">
        <is>
          <t>-</t>
        </is>
      </c>
      <c r="G301" s="28" t="n">
        <v>431.267999999999</v>
      </c>
      <c r="H301" s="25" t="inlineStr">
        <is>
          <t>Pacific</t>
        </is>
      </c>
      <c r="I301" s="25" t="inlineStr">
        <is>
          <t>Queensland (QLD)</t>
        </is>
      </c>
      <c r="J301" s="28" t="n">
        <v>459.726011330645</v>
      </c>
      <c r="K301" s="25" t="inlineStr">
        <is>
          <t>Wagners Holding Co. Ltd. engages in the provision of manufacture and sale of construction materials. It operates through the following segments: Construction Materials, Project Services, Composite Fibre Technology, and Earth Friendly Concrete. The Construction Materials segment supplies a range of construction materials predominantly to customers in the construction, infrastructure, and resources industries. The Project Services segment includes mobile concrete, crushing and haulage services, and are typically provided via medium to long-term contracts both domestically and internationally. The Composite Fibre Technology segment provides an innovative and environmentally sustainable new generation of building material, Composite Fibre Technology. The Earth Friendly Concrete segment refers to the innovative and environmentally sustainable new generation of building material, Earth Friendly Concrete technology. The company was founded by Henry Wagner, John Wagner, Denis Wagner, Neill Wagner, and Joseph Wagner in 1989 and is headquartered in Wellcamp, Australia.</t>
        </is>
      </c>
      <c r="L301" s="25" t="inlineStr">
        <is>
          <t>Heavy Building Material and Aggregate Products</t>
        </is>
      </c>
      <c r="M301" s="25" t="inlineStr">
        <is>
          <t>Construction Materials</t>
        </is>
      </c>
      <c r="N301" s="25" t="inlineStr">
        <is>
          <t>Mining and Mineral Products</t>
        </is>
      </c>
      <c r="O301" s="30" t="inlineStr">
        <is>
          <t>Asphalt, Cement and Concrete Products</t>
        </is>
      </c>
      <c r="P301" s="28" t="n">
        <v>105.374999999999</v>
      </c>
      <c r="Q301" s="28" t="n">
        <v>61.0650056079051</v>
      </c>
      <c r="R301" s="28" t="n">
        <v>22.7159999999999</v>
      </c>
      <c r="S301" s="28" t="n">
        <v>14.1594089985809</v>
      </c>
      <c r="T301" s="28" t="n">
        <v>24.4337627646846</v>
      </c>
      <c r="U301" s="28" t="n">
        <v>5.26725841008375</v>
      </c>
    </row>
    <row r="302" ht="15" customHeight="1">
      <c r="A302" s="25" t="inlineStr">
        <is>
          <t>LFS-AU</t>
        </is>
      </c>
      <c r="B302" s="25" t="inlineStr">
        <is>
          <t>Latitude Group Holdings Ltd.</t>
        </is>
      </c>
      <c r="C302" s="25" t="inlineStr">
        <is>
          <t>Public</t>
        </is>
      </c>
      <c r="D302" s="25" t="inlineStr">
        <is>
          <t>Australia</t>
        </is>
      </c>
      <c r="E302" s="26" t="n">
        <v>2015</v>
      </c>
      <c r="F302" s="27" t="inlineStr">
        <is>
          <t>-</t>
        </is>
      </c>
      <c r="G302" s="28" t="n">
        <v>1115.2</v>
      </c>
      <c r="H302" s="25" t="inlineStr">
        <is>
          <t>Pacific</t>
        </is>
      </c>
      <c r="I302" s="25" t="inlineStr">
        <is>
          <t>Victoria (VIC)</t>
        </is>
      </c>
      <c r="J302" s="28" t="n">
        <v>7882.79975548928</v>
      </c>
      <c r="K302" s="25" t="inlineStr">
        <is>
          <t>Latitude Group Holdings Ltd. engages in the installment and lending business. It operates through the following segment: Australia, New Zealand, and Other/Unallocated. The Australia segment includes LatitudePay and other payments and instalments products, LMoney including credit cards, personal loans and motor loans, inclusive of Symple Loans. The New Zealand segment focuses on Genoapay and other payments and instalments products, credit cards, and personal loans. The Other/Unallocated segment consists of consumer credit insurance, international operations, other statutory adjustments. The company was founded in 1925 and is headquartered in Docklands, Australia.</t>
        </is>
      </c>
      <c r="L302" s="25" t="inlineStr">
        <is>
          <t>Consumer Finance Services</t>
        </is>
      </c>
      <c r="M302" s="25" t="inlineStr">
        <is>
          <t>Specialty Finance</t>
        </is>
      </c>
      <c r="N302" s="25" t="inlineStr">
        <is>
          <t>Specialty Finance and Services</t>
        </is>
      </c>
      <c r="O302" s="30" t="inlineStr">
        <is>
          <t>General Consumer Finance Services</t>
        </is>
      </c>
      <c r="P302" s="28" t="n">
        <v>954.999999999999</v>
      </c>
      <c r="Q302" s="28" t="n">
        <v>754.899989483997</v>
      </c>
      <c r="R302" s="28" t="n">
        <v>30.6</v>
      </c>
      <c r="S302" s="28" t="n">
        <v>67.69189383070299</v>
      </c>
      <c r="T302" s="28" t="n">
        <v>85.6348637015782</v>
      </c>
      <c r="U302" s="28" t="n">
        <v>2.74390243902439</v>
      </c>
    </row>
    <row r="303" ht="15" customHeight="1">
      <c r="A303" s="25" t="inlineStr">
        <is>
          <t>VEA-AU</t>
        </is>
      </c>
      <c r="B303" s="25" t="inlineStr">
        <is>
          <t>Viva Energy Group Ltd.</t>
        </is>
      </c>
      <c r="C303" s="25" t="inlineStr">
        <is>
          <t>Public</t>
        </is>
      </c>
      <c r="D303" s="25" t="inlineStr">
        <is>
          <t>Australia</t>
        </is>
      </c>
      <c r="E303" s="26" t="n">
        <v>2018</v>
      </c>
      <c r="F303" s="27" t="n">
        <v>15000</v>
      </c>
      <c r="G303" s="28" t="n">
        <v>30142</v>
      </c>
      <c r="H303" s="25" t="inlineStr">
        <is>
          <t>Pacific</t>
        </is>
      </c>
      <c r="I303" s="25" t="inlineStr">
        <is>
          <t>Victoria (VIC)</t>
        </is>
      </c>
      <c r="J303" s="28" t="n">
        <v>12125.2996238943</v>
      </c>
      <c r="K303" s="25" t="inlineStr">
        <is>
          <t>Viva Energy Group Ltd. engages in the manufacture, distribution, and sale of petroleum products. It operates through the following segments: Retail, Fuels, and Marketing, Refining, and Supply, Corporate, and Overheads. The Retail, Fuels, and Marketing segment involves the merchandise and commercial operation of fuel products. The Refining segment converts imported and locally sourced crude oil into petroleum products including gasoline, diesel, jet fuel, aviation gasoline, gas, solvents, bitumen, and other specialty products. The Supply, Corporate, and Overheads segment relates to contracting access to a national infrastructure network consisting of import terminals, storage tanks, depots, and pipelines. The firm specializes in the aviation, marine, mining, transport, and commercial fleet industries. The company was founded on June 7, 2018 and is headquartered in Docklands, Australia.</t>
        </is>
      </c>
      <c r="L303" s="25" t="inlineStr">
        <is>
          <t>LPG, Propane and Other Distributors</t>
        </is>
      </c>
      <c r="M303" s="25" t="inlineStr">
        <is>
          <t>Downstream Energy</t>
        </is>
      </c>
      <c r="N303" s="25" t="inlineStr">
        <is>
          <t>Downstream and Midstream Energy</t>
        </is>
      </c>
      <c r="O303" s="30" t="inlineStr">
        <is>
          <t>Other Petroleum Products</t>
        </is>
      </c>
      <c r="P303" s="28" t="n">
        <v>1535.39999999999</v>
      </c>
      <c r="Q303" s="28" t="n">
        <v>743.600003623257</v>
      </c>
      <c r="R303" s="28" t="n">
        <v>-76.2999999999999</v>
      </c>
      <c r="S303" s="28" t="n">
        <v>2.46698958264216</v>
      </c>
      <c r="T303" s="28" t="n">
        <v>5.09388892575144</v>
      </c>
      <c r="U303" s="28" t="n">
        <v>-0.253135160241523</v>
      </c>
    </row>
    <row r="304" ht="15" customHeight="1">
      <c r="A304" s="25" t="inlineStr">
        <is>
          <t>JDO-AU</t>
        </is>
      </c>
      <c r="B304" s="25" t="inlineStr">
        <is>
          <t>Judo Capital Holdings Ltd.</t>
        </is>
      </c>
      <c r="C304" s="25" t="inlineStr">
        <is>
          <t>Public</t>
        </is>
      </c>
      <c r="D304" s="25" t="inlineStr">
        <is>
          <t>Australia</t>
        </is>
      </c>
      <c r="E304" s="26" t="n">
        <v>2016</v>
      </c>
      <c r="F304" s="27" t="n">
        <v>557</v>
      </c>
      <c r="G304" s="28" t="n">
        <v>1075.49999999999</v>
      </c>
      <c r="H304" s="25" t="inlineStr">
        <is>
          <t>Pacific</t>
        </is>
      </c>
      <c r="I304" s="25" t="inlineStr">
        <is>
          <t>Victoria (VIC)</t>
        </is>
      </c>
      <c r="J304" s="28" t="n">
        <v>14991.7003694932</v>
      </c>
      <c r="K304" s="25" t="inlineStr">
        <is>
          <t>Judo Capital Holdings Ltd. provides financial services to small and medium enterprises. Its services include business loans, home loans, term deposits, lines of credit and residential mortgages. The company was founded by Christopher James Bayliss, Joseph Cornelius Healy and David Stephenson Hornery in 2015 and is headquartered in Melbourne, Australia.</t>
        </is>
      </c>
      <c r="L304" s="25" t="inlineStr">
        <is>
          <t>Commercial Finance Services</t>
        </is>
      </c>
      <c r="M304" s="25" t="inlineStr">
        <is>
          <t>Specialty Finance</t>
        </is>
      </c>
      <c r="N304" s="25" t="inlineStr">
        <is>
          <t>Specialty Finance and Services</t>
        </is>
      </c>
      <c r="O304" s="30" t="inlineStr">
        <is>
          <t>Diversified Loan Services</t>
        </is>
      </c>
      <c r="P304" s="28" t="inlineStr">
        <is>
          <t>-</t>
        </is>
      </c>
      <c r="Q304" s="28" t="inlineStr">
        <is>
          <t>-</t>
        </is>
      </c>
      <c r="R304" s="28" t="n">
        <v>86.40000000000001</v>
      </c>
      <c r="S304" s="28" t="inlineStr">
        <is>
          <t>-</t>
        </is>
      </c>
      <c r="T304" s="28" t="inlineStr">
        <is>
          <t>-</t>
        </is>
      </c>
      <c r="U304" s="28" t="n">
        <v>8.03347280334728</v>
      </c>
    </row>
    <row r="305" ht="15" customHeight="1">
      <c r="A305" s="25" t="inlineStr">
        <is>
          <t>QRI-AU</t>
        </is>
      </c>
      <c r="B305" s="25" t="inlineStr">
        <is>
          <t>Qualitas Real Estate Income Fund</t>
        </is>
      </c>
      <c r="C305" s="25" t="inlineStr">
        <is>
          <t>Public</t>
        </is>
      </c>
      <c r="D305" s="25" t="inlineStr">
        <is>
          <t>Australia</t>
        </is>
      </c>
      <c r="E305" s="26" t="n">
        <v>2018</v>
      </c>
      <c r="F305" s="27" t="inlineStr">
        <is>
          <t>-</t>
        </is>
      </c>
      <c r="G305" s="28" t="n">
        <v>79.535</v>
      </c>
      <c r="H305" s="25" t="inlineStr">
        <is>
          <t>Pacific</t>
        </is>
      </c>
      <c r="I305" s="25" t="inlineStr">
        <is>
          <t>Victoria (VIC)</t>
        </is>
      </c>
      <c r="J305" s="28" t="n">
        <v>983.2440242335419</v>
      </c>
      <c r="K305" s="25" t="inlineStr">
        <is>
          <t>Qualitas Real Estate Income Fund engages in the provision of monthly income and capital preservation. It seeks to invest in a portfolio of investments that offers exposure to real estate loans secured by first and second mortgages. The company was founded by Andrew Schwartz in 2008, and is headquartered in Melbourne, Australia.</t>
        </is>
      </c>
      <c r="L305" s="25" t="inlineStr">
        <is>
          <t>Mortgage REITs</t>
        </is>
      </c>
      <c r="M305" s="25" t="inlineStr">
        <is>
          <t>Real Estate Investment Trusts (REITs)</t>
        </is>
      </c>
      <c r="N305" s="25" t="inlineStr">
        <is>
          <t>Real Estate</t>
        </is>
      </c>
      <c r="O305" s="30" t="inlineStr">
        <is>
          <t>Mortgage REITs</t>
        </is>
      </c>
      <c r="P305" s="28" t="n">
        <v>66.25699999999991</v>
      </c>
      <c r="Q305" s="28" t="n">
        <v>66.86800154458869</v>
      </c>
      <c r="R305" s="28" t="n">
        <v>66.86799999999999</v>
      </c>
      <c r="S305" s="28" t="n">
        <v>84.0736782548564</v>
      </c>
      <c r="T305" s="28" t="n">
        <v>83.30546300370909</v>
      </c>
      <c r="U305" s="28" t="n">
        <v>84.0736782548564</v>
      </c>
    </row>
    <row r="306" ht="15" customHeight="1">
      <c r="A306" s="25" t="inlineStr">
        <is>
          <t>0K17S2-E</t>
        </is>
      </c>
      <c r="B306" s="25" t="inlineStr">
        <is>
          <t>Coronado Global Resources, Inc.</t>
        </is>
      </c>
      <c r="C306" s="25" t="inlineStr">
        <is>
          <t>Public</t>
        </is>
      </c>
      <c r="D306" s="25" t="inlineStr">
        <is>
          <t>Australia</t>
        </is>
      </c>
      <c r="E306" s="26" t="n">
        <v>2018</v>
      </c>
      <c r="F306" s="27" t="n">
        <v>1951</v>
      </c>
      <c r="G306" s="28" t="n">
        <v>3801.87475921153</v>
      </c>
      <c r="H306" s="25" t="inlineStr">
        <is>
          <t>Pacific</t>
        </is>
      </c>
      <c r="I306" s="25" t="inlineStr">
        <is>
          <t>Queensland (QLD)</t>
        </is>
      </c>
      <c r="J306" s="28" t="n">
        <v>4552.42509892594</v>
      </c>
      <c r="K306" s="25" t="inlineStr">
        <is>
          <t>Coronado Global Resources, Inc. engages in the exploration and production of metallurgical coals. The firm has development projects in Queensland, Australia, and in Virginia, and West Virginia, United States. It operates through the Australia and United States geographical segments. The company was founded by Garold R. Spindler and James Campbell in 2011 and is headquartered in Brisbane, Australia.</t>
        </is>
      </c>
      <c r="L306" s="25" t="inlineStr">
        <is>
          <t>Asia/Pacific International Coal Mining</t>
        </is>
      </c>
      <c r="M306" s="25" t="inlineStr">
        <is>
          <t>Coal and Uranium Mining</t>
        </is>
      </c>
      <c r="N306" s="25" t="inlineStr">
        <is>
          <t>Upstream Energy</t>
        </is>
      </c>
      <c r="O306" s="30" t="inlineStr">
        <is>
          <t>Asia/Pacific International Coal Mining</t>
        </is>
      </c>
      <c r="P306" s="28" t="n">
        <v>551.7730764008001</v>
      </c>
      <c r="Q306" s="28" t="n">
        <v>197.324418418366</v>
      </c>
      <c r="R306" s="28" t="n">
        <v>-165.071491696901</v>
      </c>
      <c r="S306" s="28" t="n">
        <v>5.1901872343446</v>
      </c>
      <c r="T306" s="28" t="n">
        <v>14.5131839249547</v>
      </c>
      <c r="U306" s="28" t="n">
        <v>-4.34184454122142</v>
      </c>
    </row>
    <row r="307" ht="15" customHeight="1">
      <c r="A307" s="25" t="inlineStr">
        <is>
          <t>EDV-AU</t>
        </is>
      </c>
      <c r="B307" s="25" t="inlineStr">
        <is>
          <t>Endeavour Group Ltd. (Australia)</t>
        </is>
      </c>
      <c r="C307" s="25" t="inlineStr">
        <is>
          <t>Public</t>
        </is>
      </c>
      <c r="D307" s="25" t="inlineStr">
        <is>
          <t>Australia</t>
        </is>
      </c>
      <c r="E307" s="26" t="n">
        <v>2012</v>
      </c>
      <c r="F307" s="27" t="n">
        <v>30000</v>
      </c>
      <c r="G307" s="28" t="n">
        <v>12058.5526249508</v>
      </c>
      <c r="H307" s="25" t="inlineStr">
        <is>
          <t>Pacific</t>
        </is>
      </c>
      <c r="I307" s="25" t="inlineStr">
        <is>
          <t>New South Wales (NSW)</t>
        </is>
      </c>
      <c r="J307" s="28" t="n">
        <v>11779.8362278319</v>
      </c>
      <c r="K307" s="25" t="inlineStr">
        <is>
          <t>Endeavour Group Ltd. engages in the retail drinks and hospitality business in Australia. The Retail or Endeavour Drinks business includes the brands Dan Murphy’s and BWS, which focus on liquor delivery in stores and online platforms. The Hotels business operates by the brand ALH Hotels, which is an on-premise venue operator, with a portfolio of licensed venues in capital cities and urban and regional centers. The company’s businesses are supported by the brands Pinnacle Drinks and EndeavourX. The Pinnacle Drinks houses the company’s product and services capabilities. Its portfolio of production and services assets include wineries, vineyards, wine brands and wine services, including Paragon Wine Estates, Dorrien Estate, and Vinpac. The EndeavourX brings together Endeavour Group’s digital and fulfilment capabilities and platforms, loyalty propositions, and oversees the trading operations of the group’s specialty and eCommerce businesses. The company was founded on August 13, 2012 and is headquartered in Sydney, Australia.</t>
        </is>
      </c>
      <c r="L307" s="25" t="inlineStr">
        <is>
          <t>Beverage and Specialty Foods Stores</t>
        </is>
      </c>
      <c r="M307" s="25" t="inlineStr">
        <is>
          <t>Food and Beverage Retail</t>
        </is>
      </c>
      <c r="N307" s="25" t="inlineStr">
        <is>
          <t>Food and Staples Retail</t>
        </is>
      </c>
      <c r="O307" s="30" t="inlineStr">
        <is>
          <t>Beverage and Specialty Foods Stores</t>
        </is>
      </c>
      <c r="P307" s="28" t="n">
        <v>4226.19367996702</v>
      </c>
      <c r="Q307" s="28" t="n">
        <v>1495.06851798586</v>
      </c>
      <c r="R307" s="28" t="n">
        <v>426.019523820624</v>
      </c>
      <c r="S307" s="28" t="n">
        <v>12.3984076961353</v>
      </c>
      <c r="T307" s="28" t="n">
        <v>35.0472715209819</v>
      </c>
      <c r="U307" s="28" t="n">
        <v>3.53292419970144</v>
      </c>
    </row>
    <row r="308" ht="15" customHeight="1">
      <c r="A308" s="25" t="inlineStr">
        <is>
          <t>MAD-AU</t>
        </is>
      </c>
      <c r="B308" s="25" t="inlineStr">
        <is>
          <t>Mader Group Ltd.</t>
        </is>
      </c>
      <c r="C308" s="25" t="inlineStr">
        <is>
          <t>Public</t>
        </is>
      </c>
      <c r="D308" s="25" t="inlineStr">
        <is>
          <t>Australia</t>
        </is>
      </c>
      <c r="E308" s="26" t="n">
        <v>2012</v>
      </c>
      <c r="F308" s="27" t="n">
        <v>3900</v>
      </c>
      <c r="G308" s="28" t="n">
        <v>872.201999999999</v>
      </c>
      <c r="H308" s="25" t="inlineStr">
        <is>
          <t>Pacific</t>
        </is>
      </c>
      <c r="I308" s="25" t="inlineStr">
        <is>
          <t>Western Australia (WA)</t>
        </is>
      </c>
      <c r="J308" s="28" t="n">
        <v>346.988008552046</v>
      </c>
      <c r="K308" s="25" t="inlineStr">
        <is>
          <t>Mader Group Ltd. is a maintenance services company. It provides specialized contract labour for maintenance of heavy mobile equipment in the resources industry. Its services include maintenance labour, field support, shutdown maintenance teams, maintenance workshops, training of maintenance teams, and a range of other ancillary services. The company was founded by Luke Mader in 2005 and is headquartered in Perth, Australia.</t>
        </is>
      </c>
      <c r="L308" s="25" t="inlineStr">
        <is>
          <t>Infrastructure Construction/Contracting Services</t>
        </is>
      </c>
      <c r="M308" s="25" t="inlineStr">
        <is>
          <t>Facilities and Construction Services</t>
        </is>
      </c>
      <c r="N308" s="25" t="inlineStr">
        <is>
          <t>Industrial Services</t>
        </is>
      </c>
      <c r="O308" s="30" t="inlineStr">
        <is>
          <t>Process Plants, Utilities and Energy Construction</t>
        </is>
      </c>
      <c r="P308" s="28" t="n">
        <v>168.051999999999</v>
      </c>
      <c r="Q308" s="28" t="n">
        <v>105.714011713173</v>
      </c>
      <c r="R308" s="28" t="n">
        <v>57.147</v>
      </c>
      <c r="S308" s="28" t="n">
        <v>12.1203574401343</v>
      </c>
      <c r="T308" s="28" t="n">
        <v>19.2675549929947</v>
      </c>
      <c r="U308" s="28" t="n">
        <v>6.55203725742431</v>
      </c>
    </row>
    <row r="309" ht="15" customHeight="1">
      <c r="A309" s="25" t="inlineStr">
        <is>
          <t>HMC-AU</t>
        </is>
      </c>
      <c r="B309" s="25" t="inlineStr">
        <is>
          <t>HMC Capital Ltd.</t>
        </is>
      </c>
      <c r="C309" s="25" t="inlineStr">
        <is>
          <t>Public</t>
        </is>
      </c>
      <c r="D309" s="25" t="inlineStr">
        <is>
          <t>Australia</t>
        </is>
      </c>
      <c r="E309" s="26" t="n">
        <v>2008</v>
      </c>
      <c r="F309" s="27" t="inlineStr">
        <is>
          <t>-</t>
        </is>
      </c>
      <c r="G309" s="28" t="n">
        <v>249.2</v>
      </c>
      <c r="H309" s="25" t="inlineStr">
        <is>
          <t>Pacific</t>
        </is>
      </c>
      <c r="I309" s="25" t="inlineStr">
        <is>
          <t>New South Wales (NSW)</t>
        </is>
      </c>
      <c r="J309" s="28" t="n">
        <v>2180.60005374419</v>
      </c>
      <c r="K309" s="25" t="inlineStr">
        <is>
          <t>HMC Capital Ltd. engages in the business of funds management through ownership and management of real asset focused funds. It operates through the following segments: Investments, Fund Management, and Corporate. The company was founded in 2008 and is headquartered in Double Bay, Australia.</t>
        </is>
      </c>
      <c r="L309" s="25" t="inlineStr">
        <is>
          <t>Asset Management and Financial Advisory Services</t>
        </is>
      </c>
      <c r="M309" s="25" t="inlineStr">
        <is>
          <t>Investment Services</t>
        </is>
      </c>
      <c r="N309" s="25" t="inlineStr">
        <is>
          <t>Investment Services</t>
        </is>
      </c>
      <c r="O309" s="30" t="inlineStr">
        <is>
          <t>Alternative Investment Managers</t>
        </is>
      </c>
      <c r="P309" s="28" t="n">
        <v>224.499999999999</v>
      </c>
      <c r="Q309" s="28" t="n">
        <v>91.9000032016442</v>
      </c>
      <c r="R309" s="28" t="n">
        <v>147.3</v>
      </c>
      <c r="S309" s="28" t="n">
        <v>36.8780096308186</v>
      </c>
      <c r="T309" s="28" t="n">
        <v>90.0882825040128</v>
      </c>
      <c r="U309" s="28" t="n">
        <v>59.1091492776886</v>
      </c>
    </row>
    <row r="310" ht="15" customHeight="1">
      <c r="A310" s="25" t="inlineStr">
        <is>
          <t>KKC-AU</t>
        </is>
      </c>
      <c r="B310" s="25" t="inlineStr">
        <is>
          <t>KKR Credit Income Fund</t>
        </is>
      </c>
      <c r="C310" s="25" t="inlineStr">
        <is>
          <t>Public</t>
        </is>
      </c>
      <c r="D310" s="25" t="inlineStr">
        <is>
          <t>Australia</t>
        </is>
      </c>
      <c r="E310" s="26" t="n">
        <v>2019</v>
      </c>
      <c r="F310" s="27" t="inlineStr">
        <is>
          <t>-</t>
        </is>
      </c>
      <c r="G310" s="28" t="n">
        <v>56.259</v>
      </c>
      <c r="H310" s="25" t="inlineStr">
        <is>
          <t>Pacific</t>
        </is>
      </c>
      <c r="I310" s="25" t="inlineStr">
        <is>
          <t>New South Wales (NSW)</t>
        </is>
      </c>
      <c r="J310" s="28" t="n">
        <v>826.2240203635459</v>
      </c>
      <c r="K310" s="25" t="inlineStr">
        <is>
          <t>KKR Credit Income Fund engages in the provision of financial services. The company was founded in 1976 and is headquartered in Sydney, Australia.</t>
        </is>
      </c>
      <c r="L310" s="25" t="inlineStr">
        <is>
          <t>-</t>
        </is>
      </c>
      <c r="M310" s="25" t="inlineStr">
        <is>
          <t>-</t>
        </is>
      </c>
      <c r="N310" s="25" t="inlineStr">
        <is>
          <t>-</t>
        </is>
      </c>
      <c r="O310" s="30" t="inlineStr">
        <is>
          <t>-</t>
        </is>
      </c>
      <c r="P310" s="28" t="n">
        <v>48.571</v>
      </c>
      <c r="Q310" s="28" t="n">
        <v>60.1199921511521</v>
      </c>
      <c r="R310" s="28" t="n">
        <v>60.1199999999999</v>
      </c>
      <c r="S310" s="28" t="n">
        <v>106.86290193569</v>
      </c>
      <c r="T310" s="28" t="n">
        <v>86.3346309034999</v>
      </c>
      <c r="U310" s="28" t="n">
        <v>106.86290193569</v>
      </c>
    </row>
    <row r="311" ht="15" customHeight="1">
      <c r="A311" s="25" t="inlineStr">
        <is>
          <t>MME-AU</t>
        </is>
      </c>
      <c r="B311" s="25" t="inlineStr">
        <is>
          <t>MoneyMe Ltd.</t>
        </is>
      </c>
      <c r="C311" s="25" t="inlineStr">
        <is>
          <t>Public</t>
        </is>
      </c>
      <c r="D311" s="25" t="inlineStr">
        <is>
          <t>Australia</t>
        </is>
      </c>
      <c r="E311" s="26" t="n">
        <v>2019</v>
      </c>
      <c r="F311" s="27" t="inlineStr">
        <is>
          <t>-</t>
        </is>
      </c>
      <c r="G311" s="28" t="n">
        <v>207.983</v>
      </c>
      <c r="H311" s="25" t="inlineStr">
        <is>
          <t>Pacific</t>
        </is>
      </c>
      <c r="I311" s="25" t="inlineStr">
        <is>
          <t>New South Wales (NSW)</t>
        </is>
      </c>
      <c r="J311" s="28" t="n">
        <v>1657.7110408568</v>
      </c>
      <c r="K311" s="25" t="inlineStr">
        <is>
          <t>MoneyMe Ltd. is a consumer credit sector company, which engages in the provision of financing solutions to consumers for a variety of personal funding requirements. Its brands include MONEYME and SocietyOne. The company was founded by Clayton Howes, Scott Emery, and Steve Bannigan on May 9, 2013 and is headquartered in Sydney, Australia.</t>
        </is>
      </c>
      <c r="L311" s="25" t="inlineStr">
        <is>
          <t>Consumer Finance Services</t>
        </is>
      </c>
      <c r="M311" s="25" t="inlineStr">
        <is>
          <t>Specialty Finance</t>
        </is>
      </c>
      <c r="N311" s="25" t="inlineStr">
        <is>
          <t>Specialty Finance and Services</t>
        </is>
      </c>
      <c r="O311" s="30" t="inlineStr">
        <is>
          <t>General Consumer Finance Services</t>
        </is>
      </c>
      <c r="P311" s="28" t="n">
        <v>175.424999999999</v>
      </c>
      <c r="Q311" s="28" t="n">
        <v>133.837990179172</v>
      </c>
      <c r="R311" s="28" t="n">
        <v>-66.6079999999999</v>
      </c>
      <c r="S311" s="28" t="n">
        <v>64.3504517196117</v>
      </c>
      <c r="T311" s="28" t="n">
        <v>84.3458359577465</v>
      </c>
      <c r="U311" s="28" t="n">
        <v>-32.025694407716</v>
      </c>
    </row>
    <row r="312" ht="15" customHeight="1">
      <c r="A312" s="25" t="inlineStr">
        <is>
          <t>TPG-AU</t>
        </is>
      </c>
      <c r="B312" s="25" t="inlineStr">
        <is>
          <t>TPG Telecom Ltd.</t>
        </is>
      </c>
      <c r="C312" s="25" t="inlineStr">
        <is>
          <t>Public</t>
        </is>
      </c>
      <c r="D312" s="25" t="inlineStr">
        <is>
          <t>Australia</t>
        </is>
      </c>
      <c r="E312" s="26" t="n">
        <v>2001</v>
      </c>
      <c r="F312" s="27" t="n">
        <v>7700</v>
      </c>
      <c r="G312" s="28" t="n">
        <v>5520</v>
      </c>
      <c r="H312" s="25" t="inlineStr">
        <is>
          <t>Pacific</t>
        </is>
      </c>
      <c r="I312" s="25" t="inlineStr">
        <is>
          <t>New South Wales (NSW)</t>
        </is>
      </c>
      <c r="J312" s="28" t="n">
        <v>19932.9993817131</v>
      </c>
      <c r="K312" s="25" t="inlineStr">
        <is>
          <t>TPG Telecom Ltd. engages in the provision of telecommunication services to residential users, small and medium enterprises, government, corporate enterprises, and wholesale customers. It operates through the following business segments: Consumer, and Enterprise, Government and Wholesale. The Consumer segment provides telecommunications services to residential and small office/home office customers. The Enterprise, Government and Wholesale segment offers telecommunications services to corporate, government and wholesale customers. The company was founded in 1986 and is headquartered in North Sydney, Australia.</t>
        </is>
      </c>
      <c r="L312" s="25" t="inlineStr">
        <is>
          <t>Pan-Asia/Pacific Mixed Telecommunications Services</t>
        </is>
      </c>
      <c r="M312" s="25" t="inlineStr">
        <is>
          <t>General Telecommunications Services</t>
        </is>
      </c>
      <c r="N312" s="25" t="inlineStr">
        <is>
          <t>Telecommunications</t>
        </is>
      </c>
      <c r="O312" s="30" t="inlineStr">
        <is>
          <t>Australia/New Zealand Mixed Telecom Services</t>
        </is>
      </c>
      <c r="P312" s="28" t="n">
        <v>885.999999999999</v>
      </c>
      <c r="Q312" s="28" t="n">
        <v>1950.00000292836</v>
      </c>
      <c r="R312" s="28" t="n">
        <v>-107</v>
      </c>
      <c r="S312" s="28" t="n">
        <v>35.3260869565217</v>
      </c>
      <c r="T312" s="28" t="n">
        <v>16.0507246376812</v>
      </c>
      <c r="U312" s="28" t="n">
        <v>-1.93840579710145</v>
      </c>
    </row>
    <row r="313" ht="15" customHeight="1">
      <c r="A313" s="25" t="inlineStr">
        <is>
          <t>PLT-AU</t>
        </is>
      </c>
      <c r="B313" s="25" t="inlineStr">
        <is>
          <t>Plenti Group Ltd.</t>
        </is>
      </c>
      <c r="C313" s="25" t="inlineStr">
        <is>
          <t>Public</t>
        </is>
      </c>
      <c r="D313" s="25" t="inlineStr">
        <is>
          <t>Australia</t>
        </is>
      </c>
      <c r="E313" s="26" t="n">
        <v>2020</v>
      </c>
      <c r="F313" s="27" t="inlineStr">
        <is>
          <t>-</t>
        </is>
      </c>
      <c r="G313" s="28" t="n">
        <v>259.397999999999</v>
      </c>
      <c r="H313" s="25" t="inlineStr">
        <is>
          <t>Pacific</t>
        </is>
      </c>
      <c r="I313" s="25" t="inlineStr">
        <is>
          <t>New South Wales (NSW)</t>
        </is>
      </c>
      <c r="J313" s="28" t="n">
        <v>2657.02703805658</v>
      </c>
      <c r="K313" s="25" t="inlineStr">
        <is>
          <t>Plenti Group Ltd. provides consumer lending and investing platform. It focuses on lending to creditworthy borrowers in the following segments: secured automotive loans, renewable energy loans and personal loans. The company's product categories include barrow, personal loans, car loans, green loans and legal loans. Plenti Group was founded by Daniel Robert Foggo, Glenn Nicholas Riddell and Benjamin Henry Milsom in November 2014 and is headquartered in Sydney, Australia.</t>
        </is>
      </c>
      <c r="L313" s="25" t="inlineStr">
        <is>
          <t>Consumer Finance Services</t>
        </is>
      </c>
      <c r="M313" s="25" t="inlineStr">
        <is>
          <t>Specialty Finance</t>
        </is>
      </c>
      <c r="N313" s="25" t="inlineStr">
        <is>
          <t>Specialty Finance and Services</t>
        </is>
      </c>
      <c r="O313" s="30" t="inlineStr">
        <is>
          <t>Personal Loans</t>
        </is>
      </c>
      <c r="P313" s="28" t="n">
        <v>233.064999999999</v>
      </c>
      <c r="Q313" s="28" t="n">
        <v>172.548001316285</v>
      </c>
      <c r="R313" s="28" t="n">
        <v>24.7569999999999</v>
      </c>
      <c r="S313" s="28" t="n">
        <v>66.5186316008604</v>
      </c>
      <c r="T313" s="28" t="n">
        <v>89.84841826074221</v>
      </c>
      <c r="U313" s="28" t="n">
        <v>9.544021156678159</v>
      </c>
    </row>
    <row r="314" ht="15" customHeight="1">
      <c r="A314" s="25" t="inlineStr">
        <is>
          <t>HDN-AU</t>
        </is>
      </c>
      <c r="B314" s="25" t="inlineStr">
        <is>
          <t>HomeCo Daily Needs REIT</t>
        </is>
      </c>
      <c r="C314" s="25" t="inlineStr">
        <is>
          <t>Public</t>
        </is>
      </c>
      <c r="D314" s="25" t="inlineStr">
        <is>
          <t>Australia</t>
        </is>
      </c>
      <c r="E314" s="26" t="n">
        <v>2020</v>
      </c>
      <c r="F314" s="27" t="inlineStr">
        <is>
          <t>-</t>
        </is>
      </c>
      <c r="G314" s="28" t="n">
        <v>365.699999999999</v>
      </c>
      <c r="H314" s="25" t="inlineStr">
        <is>
          <t>Pacific</t>
        </is>
      </c>
      <c r="I314" s="25" t="inlineStr">
        <is>
          <t>New South Wales (NSW)</t>
        </is>
      </c>
      <c r="J314" s="28" t="n">
        <v>4960.70012226399</v>
      </c>
      <c r="K314" s="25" t="inlineStr">
        <is>
          <t>HomeCo Daily Needs REIT aims to invest in predominately metro-located, convenience-based assets, across the target sub-sectors of neighborhood retail, large format retail, and health and services. Its objective is to provide unit holders with exposure to a portfolio of stabilized assets targeting consistent and growing distributions. The company was founded in November 2020 and is headquartered in Sydney, Australia.</t>
        </is>
      </c>
      <c r="L314" s="25" t="inlineStr">
        <is>
          <t>Equity REITs</t>
        </is>
      </c>
      <c r="M314" s="25" t="inlineStr">
        <is>
          <t>Real Estate Investment Trusts (REITs)</t>
        </is>
      </c>
      <c r="N314" s="25" t="inlineStr">
        <is>
          <t>Real Estate</t>
        </is>
      </c>
      <c r="O314" s="30" t="inlineStr">
        <is>
          <t>Equity REITs</t>
        </is>
      </c>
      <c r="P314" s="28" t="n">
        <v>252.099999999999</v>
      </c>
      <c r="Q314" s="28" t="n">
        <v>212.90000363667</v>
      </c>
      <c r="R314" s="28" t="n">
        <v>250.3</v>
      </c>
      <c r="S314" s="28" t="n">
        <v>58.2171178561663</v>
      </c>
      <c r="T314" s="28" t="n">
        <v>68.9362865736943</v>
      </c>
      <c r="U314" s="28" t="n">
        <v>68.444079846869</v>
      </c>
    </row>
    <row r="315" ht="15" customHeight="1">
      <c r="A315" s="25" t="inlineStr">
        <is>
          <t>DUR-AU</t>
        </is>
      </c>
      <c r="B315" s="25" t="inlineStr">
        <is>
          <t>Duratec Ltd.</t>
        </is>
      </c>
      <c r="C315" s="25" t="inlineStr">
        <is>
          <t>Public</t>
        </is>
      </c>
      <c r="D315" s="25" t="inlineStr">
        <is>
          <t>Australia</t>
        </is>
      </c>
      <c r="E315" s="26" t="n">
        <v>2010</v>
      </c>
      <c r="F315" s="27" t="n">
        <v>1265</v>
      </c>
      <c r="G315" s="28" t="n">
        <v>573.027999999999</v>
      </c>
      <c r="H315" s="25" t="inlineStr">
        <is>
          <t>Pacific</t>
        </is>
      </c>
      <c r="I315" s="25" t="inlineStr">
        <is>
          <t>Western Australia (WA)</t>
        </is>
      </c>
      <c r="J315" s="28" t="n">
        <v>251.374006195493</v>
      </c>
      <c r="K315" s="25" t="inlineStr">
        <is>
          <t>Duratec Ltd. engages in protection and remediation of steel and concrete. The company operates through the following segments: Defence, Mining &amp; Industrial, Buildings &amp; Facades and Other. The company was founded by Harcourt Robert Phillip, Christopher John Oates and Deane Diprose Gerald on January 22, 2010 and is headquartered in Wangara, Austrial.</t>
        </is>
      </c>
      <c r="L315" s="25" t="inlineStr">
        <is>
          <t>Infrastructure Construction/Contracting Services</t>
        </is>
      </c>
      <c r="M315" s="25" t="inlineStr">
        <is>
          <t>Facilities and Construction Services</t>
        </is>
      </c>
      <c r="N315" s="25" t="inlineStr">
        <is>
          <t>Industrial Services</t>
        </is>
      </c>
      <c r="O315" s="30" t="inlineStr">
        <is>
          <t>Infrastructure Construction</t>
        </is>
      </c>
      <c r="P315" s="28" t="n">
        <v>38.4769999999999</v>
      </c>
      <c r="Q315" s="28" t="n">
        <v>40.7529911812294</v>
      </c>
      <c r="R315" s="28" t="n">
        <v>22.8269999999999</v>
      </c>
      <c r="S315" s="28" t="n">
        <v>7.11186887900766</v>
      </c>
      <c r="T315" s="28" t="n">
        <v>6.71468060897548</v>
      </c>
      <c r="U315" s="28" t="n">
        <v>3.98357497364876</v>
      </c>
    </row>
    <row r="316" ht="15" customHeight="1">
      <c r="A316" s="25" t="inlineStr">
        <is>
          <t>GNP-AU</t>
        </is>
      </c>
      <c r="B316" s="25" t="inlineStr">
        <is>
          <t>GenusPlus Group Ltd.</t>
        </is>
      </c>
      <c r="C316" s="25" t="inlineStr">
        <is>
          <t>Public</t>
        </is>
      </c>
      <c r="D316" s="25" t="inlineStr">
        <is>
          <t>Australia</t>
        </is>
      </c>
      <c r="E316" s="26" t="n">
        <v>2017</v>
      </c>
      <c r="F316" s="27" t="n">
        <v>1121</v>
      </c>
      <c r="G316" s="28" t="n">
        <v>751.265713</v>
      </c>
      <c r="H316" s="25" t="inlineStr">
        <is>
          <t>Pacific</t>
        </is>
      </c>
      <c r="I316" s="25" t="inlineStr">
        <is>
          <t>Western Australia (WA)</t>
        </is>
      </c>
      <c r="J316" s="28" t="n">
        <v>470.969310607754</v>
      </c>
      <c r="K316" s="25" t="inlineStr">
        <is>
          <t>GenusPlus Group Ltd. engages in the provision of installation, construction, and maintenance of power and communication systems. It operates through the following segments: Infrastructure, Services, and Energy &amp; Engineering. The company was founded by David Riches on July 6, 2017 and is headquartered in Belmont, Australia.</t>
        </is>
      </c>
      <c r="L316" s="25" t="inlineStr">
        <is>
          <t>Infrastructure Construction/Contracting Services</t>
        </is>
      </c>
      <c r="M316" s="25" t="inlineStr">
        <is>
          <t>Facilities and Construction Services</t>
        </is>
      </c>
      <c r="N316" s="25" t="inlineStr">
        <is>
          <t>Industrial Services</t>
        </is>
      </c>
      <c r="O316" s="30" t="inlineStr">
        <is>
          <t>Process Plants, Utilities and Energy Construction</t>
        </is>
      </c>
      <c r="P316" s="28" t="n">
        <v>103.276839</v>
      </c>
      <c r="Q316" s="28" t="n">
        <v>65.1491060343243</v>
      </c>
      <c r="R316" s="28" t="n">
        <v>35.369224</v>
      </c>
      <c r="S316" s="28" t="n">
        <v>8.671913129090189</v>
      </c>
      <c r="T316" s="28" t="n">
        <v>13.7470454478201</v>
      </c>
      <c r="U316" s="28" t="n">
        <v>4.70795131309287</v>
      </c>
    </row>
    <row r="317" ht="15" customHeight="1">
      <c r="A317" s="25" t="inlineStr">
        <is>
          <t>MGH-AU</t>
        </is>
      </c>
      <c r="B317" s="25" t="inlineStr">
        <is>
          <t>MAAS Group Holdings Ltd.</t>
        </is>
      </c>
      <c r="C317" s="25" t="inlineStr">
        <is>
          <t>Public</t>
        </is>
      </c>
      <c r="D317" s="25" t="inlineStr">
        <is>
          <t>Australia</t>
        </is>
      </c>
      <c r="E317" s="26" t="n">
        <v>2019</v>
      </c>
      <c r="F317" s="27" t="n">
        <v>2300</v>
      </c>
      <c r="G317" s="28" t="n">
        <v>1030.54199999999</v>
      </c>
      <c r="H317" s="25" t="inlineStr">
        <is>
          <t>Pacific</t>
        </is>
      </c>
      <c r="I317" s="25" t="inlineStr">
        <is>
          <t>New South Wales (NSW)</t>
        </is>
      </c>
      <c r="J317" s="28" t="n">
        <v>1992.47904910768</v>
      </c>
      <c r="K317" s="25" t="inlineStr">
        <is>
          <t>MAAS Group Holdings Ltd. engages in the supply of construction materials and equipment. The firm operates through the following segments: Residential Real Estate; Commercial Real Estate; Civil, Construction &amp; Hire; Manufacturing; Construction Materials; and Other. The Residential Real Estate segment engages in developing, investing, building, and selling residential land and housing. The Commercial Real Estate segment operates through commercial construction, which builds and constructs commercial developments and commercial development &amp; investment, which delivers commercial property and industrial developments, and investing in commercial real estate building products. The Civil, Construction &amp; Hire segment provides services under civil construction that includes civil infrastructure construction, roads, dams, renewables, and mining infrastructure; plant hire and sales for infrastructure and tunnelling projects; and electrical services, such as electrical infrastructure, communications, and machinery sales. The Manufacturing segment deals with manufacturing, sales, and distribution of underground construction and mining equipment and parts. The Construction Materials segment provides quarry materials to construction projects, mobile crushing and screening for quarries, geotechnical services, asphalt services, and quarry excavation services. The Other segment includes head office operations. The company was founded by Wesley J. Maas in 2002 and is headquartered in Dubbo, Australia.</t>
        </is>
      </c>
      <c r="L317" s="25" t="inlineStr">
        <is>
          <t>Natural Resource and Construction Machinery Makers</t>
        </is>
      </c>
      <c r="M317" s="25" t="inlineStr">
        <is>
          <t>Machinery Manufacturing</t>
        </is>
      </c>
      <c r="N317" s="25" t="inlineStr">
        <is>
          <t>Industrial Manufacturing</t>
        </is>
      </c>
      <c r="O317" s="30" t="inlineStr">
        <is>
          <t>Mining and Excavation Equipment Manufacturing</t>
        </is>
      </c>
      <c r="P317" s="28" t="n">
        <v>239.909</v>
      </c>
      <c r="Q317" s="28" t="n">
        <v>164.995995787384</v>
      </c>
      <c r="R317" s="28" t="n">
        <v>71.96299999999989</v>
      </c>
      <c r="S317" s="28" t="n">
        <v>16.0106041287012</v>
      </c>
      <c r="T317" s="28" t="n">
        <v>23.2798857300333</v>
      </c>
      <c r="U317" s="28" t="n">
        <v>6.98302446673692</v>
      </c>
    </row>
    <row r="318" ht="15" customHeight="1">
      <c r="A318" s="25" t="inlineStr">
        <is>
          <t>DBI-AU</t>
        </is>
      </c>
      <c r="B318" s="25" t="inlineStr">
        <is>
          <t>Dalrymple Bay Infrastructure Ltd.</t>
        </is>
      </c>
      <c r="C318" s="25" t="inlineStr">
        <is>
          <t>Public</t>
        </is>
      </c>
      <c r="D318" s="25" t="inlineStr">
        <is>
          <t>Australia</t>
        </is>
      </c>
      <c r="E318" s="26" t="n">
        <v>2020</v>
      </c>
      <c r="F318" s="27" t="inlineStr">
        <is>
          <t>-</t>
        </is>
      </c>
      <c r="G318" s="28" t="n">
        <v>766.542</v>
      </c>
      <c r="H318" s="25" t="inlineStr">
        <is>
          <t>Pacific</t>
        </is>
      </c>
      <c r="I318" s="25" t="inlineStr">
        <is>
          <t>Queensland (QLD)</t>
        </is>
      </c>
      <c r="J318" s="28" t="n">
        <v>3420.70289389575</v>
      </c>
      <c r="K318" s="25" t="inlineStr">
        <is>
          <t>Dalrymple Bay Infrastructure Ltd. is a metallurgical coal export company. It serves as a global gateway from the Bowen Basin. The company was founded on 7 August, 2020 and is headquartered in Brisbane, Australia.</t>
        </is>
      </c>
      <c r="L318" s="25" t="inlineStr">
        <is>
          <t>Air and Water Transportation Operators</t>
        </is>
      </c>
      <c r="M318" s="25" t="inlineStr">
        <is>
          <t>Cargo Transportation and Infrastructure Services</t>
        </is>
      </c>
      <c r="N318" s="25" t="inlineStr">
        <is>
          <t>Industrial Services</t>
        </is>
      </c>
      <c r="O318" s="30" t="inlineStr">
        <is>
          <t>Water Transportation</t>
        </is>
      </c>
      <c r="P318" s="28" t="n">
        <v>246.669</v>
      </c>
      <c r="Q318" s="28" t="n">
        <v>283.440005657732</v>
      </c>
      <c r="R318" s="28" t="n">
        <v>81.79900000000001</v>
      </c>
      <c r="S318" s="28" t="n">
        <v>36.9764474745024</v>
      </c>
      <c r="T318" s="28" t="n">
        <v>32.1794500497037</v>
      </c>
      <c r="U318" s="28" t="n">
        <v>10.6711700076447</v>
      </c>
    </row>
    <row r="319" ht="15" customHeight="1">
      <c r="A319" s="25" t="inlineStr">
        <is>
          <t>CTT-AU</t>
        </is>
      </c>
      <c r="B319" s="25" t="inlineStr">
        <is>
          <t>Cettire Ltd.</t>
        </is>
      </c>
      <c r="C319" s="25" t="inlineStr">
        <is>
          <t>Public</t>
        </is>
      </c>
      <c r="D319" s="25" t="inlineStr">
        <is>
          <t>Australia</t>
        </is>
      </c>
      <c r="E319" s="26" t="n">
        <v>2020</v>
      </c>
      <c r="F319" s="27" t="inlineStr">
        <is>
          <t>-</t>
        </is>
      </c>
      <c r="G319" s="28" t="n">
        <v>742.113329</v>
      </c>
      <c r="H319" s="25" t="inlineStr">
        <is>
          <t>Pacific</t>
        </is>
      </c>
      <c r="I319" s="25" t="inlineStr">
        <is>
          <t>Victoria (VIC)</t>
        </is>
      </c>
      <c r="J319" s="28" t="n">
        <v>124.319284064037</v>
      </c>
      <c r="K319" s="25" t="inlineStr">
        <is>
          <t>Cettire Ltd. is an online luxury goods retailer, which engages in luxury personal items such as clothing, shoes, bags, and accessories via their website. The firm offers women's and men's wear from brands such as Prada, Gucci, Saint Laurent, Balenciaga, and Valentino. The company was founded by Dean Mintz in 2017 and is headquartered in Melbourne, Australia.</t>
        </is>
      </c>
      <c r="L319" s="25" t="inlineStr">
        <is>
          <t>Mixed Apparel and Accessories Retail</t>
        </is>
      </c>
      <c r="M319" s="25" t="inlineStr">
        <is>
          <t>Apparel and Accessories Retail</t>
        </is>
      </c>
      <c r="N319" s="25" t="inlineStr">
        <is>
          <t>Consumer Retail</t>
        </is>
      </c>
      <c r="O319" s="30" t="inlineStr">
        <is>
          <t>Mixed Apparel and Accessories Retail</t>
        </is>
      </c>
      <c r="P319" s="28" t="n">
        <v>99.9080169999999</v>
      </c>
      <c r="Q319" s="28" t="n">
        <v>0.70904574906208</v>
      </c>
      <c r="R319" s="28" t="n">
        <v>-2.64578599999999</v>
      </c>
      <c r="S319" s="28" t="n">
        <v>0.0955460537213987</v>
      </c>
      <c r="T319" s="28" t="n">
        <v>13.4626361090464</v>
      </c>
      <c r="U319" s="28" t="n">
        <v>-0.356520479636878</v>
      </c>
    </row>
    <row r="320" ht="15" customHeight="1">
      <c r="A320" s="25" t="inlineStr">
        <is>
          <t>PWR-AU</t>
        </is>
      </c>
      <c r="B320" s="25" t="inlineStr">
        <is>
          <t>Peter Warren Automotive Holdings Ltd.</t>
        </is>
      </c>
      <c r="C320" s="25" t="inlineStr">
        <is>
          <t>Public</t>
        </is>
      </c>
      <c r="D320" s="25" t="inlineStr">
        <is>
          <t>Australia</t>
        </is>
      </c>
      <c r="E320" s="26" t="n">
        <v>2016</v>
      </c>
      <c r="F320" s="27" t="inlineStr">
        <is>
          <t>-</t>
        </is>
      </c>
      <c r="G320" s="28" t="n">
        <v>2481.436</v>
      </c>
      <c r="H320" s="25" t="inlineStr">
        <is>
          <t>Pacific</t>
        </is>
      </c>
      <c r="I320" s="25" t="inlineStr">
        <is>
          <t>New South Wales (NSW)</t>
        </is>
      </c>
      <c r="J320" s="28" t="n">
        <v>1442.63103555583</v>
      </c>
      <c r="K320" s="25" t="inlineStr">
        <is>
          <t>Peter Warren Automotive Holdings Ltd. is a holding company, which engages through its subsidiaries in motor vehicle dealership services. It operates through the Vehicle Retailing and Property segments. The Vehicle Retailing segment offers a diversified range of automotive products and services, including new vehicles, used vehicles, vehicle maintenance, and repair services, vehicle parts, extended service contracts, vehicle protection products, and other aftermarket products. The Property segment holds commercial properties principally for use as premises for its motor dealership operations. The company was founded by Peter Warren in 1958 and is headquartered in Sydney, Australia.</t>
        </is>
      </c>
      <c r="L320" s="25" t="inlineStr">
        <is>
          <t>Motor Vehicle Sales</t>
        </is>
      </c>
      <c r="M320" s="25" t="inlineStr">
        <is>
          <t>Auto Retail</t>
        </is>
      </c>
      <c r="N320" s="25" t="inlineStr">
        <is>
          <t>Miscellaneous Retail</t>
        </is>
      </c>
      <c r="O320" s="30" t="inlineStr">
        <is>
          <t>Automobile Dealers</t>
        </is>
      </c>
      <c r="P320" s="28" t="n">
        <v>154.628999999999</v>
      </c>
      <c r="Q320" s="28" t="n">
        <v>107.908008021627</v>
      </c>
      <c r="R320" s="28" t="n">
        <v>12.0939999999999</v>
      </c>
      <c r="S320" s="28" t="n">
        <v>4.34861104618455</v>
      </c>
      <c r="T320" s="28" t="n">
        <v>6.23143212236786</v>
      </c>
      <c r="U320" s="28" t="n">
        <v>0.487379082112132</v>
      </c>
    </row>
    <row r="321" ht="15" customHeight="1">
      <c r="A321" s="25" t="inlineStr">
        <is>
          <t>ACL-AU</t>
        </is>
      </c>
      <c r="B321" s="25" t="inlineStr">
        <is>
          <t>Australian Clinical Labs Ltd.</t>
        </is>
      </c>
      <c r="C321" s="25" t="inlineStr">
        <is>
          <t>Public</t>
        </is>
      </c>
      <c r="D321" s="25" t="inlineStr">
        <is>
          <t>Australia</t>
        </is>
      </c>
      <c r="E321" s="26" t="n">
        <v>2020</v>
      </c>
      <c r="F321" s="27" t="n">
        <v>4700</v>
      </c>
      <c r="G321" s="28" t="n">
        <v>736.148</v>
      </c>
      <c r="H321" s="25" t="inlineStr">
        <is>
          <t>Pacific</t>
        </is>
      </c>
      <c r="I321" s="25" t="inlineStr">
        <is>
          <t>Victoria (VIC)</t>
        </is>
      </c>
      <c r="J321" s="28" t="n">
        <v>574.838014167756</v>
      </c>
      <c r="K321" s="25" t="inlineStr">
        <is>
          <t>Australian Clinical Labs Ltd. engages in the provision of pathology services. It operates through the Pathology segment. The Pathology segment includes pathology/clinical laboratory services provided in Australia. The company was founded in 2015 and is headquartered in Clayton, Australia.</t>
        </is>
      </c>
      <c r="L321" s="25" t="inlineStr">
        <is>
          <t>Ambulatory and Outpatient Diagnostic Patient Care</t>
        </is>
      </c>
      <c r="M321" s="25" t="inlineStr">
        <is>
          <t>Patient Care</t>
        </is>
      </c>
      <c r="N321" s="25" t="inlineStr">
        <is>
          <t>Healthcare Services</t>
        </is>
      </c>
      <c r="O321" s="30" t="inlineStr">
        <is>
          <t>Clinical Laboratory Patient Diagnostics</t>
        </is>
      </c>
      <c r="P321" s="28" t="n">
        <v>152.865</v>
      </c>
      <c r="Q321" s="28" t="n">
        <v>198.925008387778</v>
      </c>
      <c r="R321" s="28" t="n">
        <v>32.43</v>
      </c>
      <c r="S321" s="28" t="n">
        <v>27.0224194047936</v>
      </c>
      <c r="T321" s="28" t="n">
        <v>20.7655254106511</v>
      </c>
      <c r="U321" s="28" t="n">
        <v>4.40536413873297</v>
      </c>
    </row>
    <row r="322" ht="15" customHeight="1">
      <c r="A322" s="25" t="inlineStr">
        <is>
          <t>DCFCQ-US</t>
        </is>
      </c>
      <c r="B322" s="25" t="inlineStr">
        <is>
          <t>Tritium DCFC Ltd.</t>
        </is>
      </c>
      <c r="C322" s="25" t="inlineStr">
        <is>
          <t>Public</t>
        </is>
      </c>
      <c r="D322" s="25" t="inlineStr">
        <is>
          <t>Australia</t>
        </is>
      </c>
      <c r="E322" s="26" t="n">
        <v>2021</v>
      </c>
      <c r="F322" s="27" t="n">
        <v>1001</v>
      </c>
      <c r="G322" s="28" t="n">
        <v>274.354551695762</v>
      </c>
      <c r="H322" s="25" t="inlineStr">
        <is>
          <t>Pacific</t>
        </is>
      </c>
      <c r="I322" s="25" t="inlineStr">
        <is>
          <t>Queensland (QLD)</t>
        </is>
      </c>
      <c r="J322" s="28" t="n">
        <v>413.394426500412</v>
      </c>
      <c r="K322" s="25" t="inlineStr">
        <is>
          <t>Tritium DCFC Ltd. designs and manufactures proprietary hardware and software to develop direct current chargers for electric vehicles. It operates through the following segments: Hardware, Software, and Service and Maintenance. The company was founded by David Finn, Paul Serina and James Kennedy on May 7, 2021 and is headquartered in Murarrie, Australia.</t>
        </is>
      </c>
      <c r="L322" s="25" t="inlineStr">
        <is>
          <t>Commercial and Industrial Electric Products</t>
        </is>
      </c>
      <c r="M322" s="25" t="inlineStr">
        <is>
          <t>Electrical Equipment and Power Systems</t>
        </is>
      </c>
      <c r="N322" s="25" t="inlineStr">
        <is>
          <t>Industrial Manufacturing</t>
        </is>
      </c>
      <c r="O322" s="30" t="inlineStr">
        <is>
          <t>General Industrial Electrical Products</t>
        </is>
      </c>
      <c r="P322" s="28" t="n">
        <v>-7.88674189757466</v>
      </c>
      <c r="Q322" s="28" t="n">
        <v>-143.74088856754</v>
      </c>
      <c r="R322" s="28" t="n">
        <v>-180.436166655728</v>
      </c>
      <c r="S322" s="28" t="n">
        <v>-52.3923833882434</v>
      </c>
      <c r="T322" s="28" t="n">
        <v>-2.87465319923703</v>
      </c>
      <c r="U322" s="28" t="n">
        <v>-65.7675134385296</v>
      </c>
    </row>
    <row r="323" ht="15" customHeight="1">
      <c r="A323" s="25" t="inlineStr">
        <is>
          <t>DGL-AU</t>
        </is>
      </c>
      <c r="B323" s="25" t="inlineStr">
        <is>
          <t>DGL Group Ltd.</t>
        </is>
      </c>
      <c r="C323" s="25" t="inlineStr">
        <is>
          <t>Public</t>
        </is>
      </c>
      <c r="D323" s="25" t="inlineStr">
        <is>
          <t>Australia</t>
        </is>
      </c>
      <c r="E323" s="26" t="n">
        <v>1984</v>
      </c>
      <c r="F323" s="27" t="n">
        <v>900</v>
      </c>
      <c r="G323" s="28" t="n">
        <v>481.495999999999</v>
      </c>
      <c r="H323" s="25" t="inlineStr">
        <is>
          <t>Pacific</t>
        </is>
      </c>
      <c r="I323" s="25" t="inlineStr">
        <is>
          <t>Victoria (VIC)</t>
        </is>
      </c>
      <c r="J323" s="28" t="n">
        <v>598.061014740122</v>
      </c>
      <c r="K323" s="25" t="inlineStr">
        <is>
          <t>DGL Group Ltd. provides chemical manufacturing, warehousing, distribution and environmental services. It operates through the following segments: Environmental Solutions, Chemical Manufacturing, Logistics, and Corporate Costs. The Environmental Solutions segment is focused on resource recovery and waste management. The Chemical Manufacturing segment produces its own range of specialty chemicals and has undertaken advanced formulation and contract manufacturing on behalf of third parties. The Logistics segment offers transport, logistics and warehousing services focusing on dangerous and hazardous goods across Australia and New Zealand. The Corporate Costs segment represents costs incurred by the Group not allocated to the operating segments. The company was founded by Henry Simon in 1999 and is headquartered in Melbourne, Australia.</t>
        </is>
      </c>
      <c r="L323" s="25" t="inlineStr">
        <is>
          <t>Other Specialty/Performance Chemical Manufacturing</t>
        </is>
      </c>
      <c r="M323" s="25" t="inlineStr">
        <is>
          <t>Specialty and Performance Chemicals</t>
        </is>
      </c>
      <c r="N323" s="25" t="inlineStr">
        <is>
          <t>Chemical, Plastic and Rubber Materials</t>
        </is>
      </c>
      <c r="O323" s="30" t="inlineStr">
        <is>
          <t>Diversified Specialty/Performance Chemicals Makers</t>
        </is>
      </c>
      <c r="P323" s="28" t="n">
        <v>54.54</v>
      </c>
      <c r="Q323" s="28" t="n">
        <v>47.2610027942289</v>
      </c>
      <c r="R323" s="28" t="n">
        <v>-27.921</v>
      </c>
      <c r="S323" s="28" t="n">
        <v>9.81545018027149</v>
      </c>
      <c r="T323" s="28" t="n">
        <v>11.3271969029857</v>
      </c>
      <c r="U323" s="28" t="n">
        <v>-5.79880206689152</v>
      </c>
    </row>
    <row r="324" ht="15" customHeight="1">
      <c r="A324" s="25" t="inlineStr">
        <is>
          <t>29M-AU</t>
        </is>
      </c>
      <c r="B324" s="25" t="inlineStr">
        <is>
          <t>29metals Ltd.</t>
        </is>
      </c>
      <c r="C324" s="25" t="inlineStr">
        <is>
          <t>Public</t>
        </is>
      </c>
      <c r="D324" s="25" t="inlineStr">
        <is>
          <t>Australia</t>
        </is>
      </c>
      <c r="E324" s="26" t="n">
        <v>2021</v>
      </c>
      <c r="F324" s="27" t="inlineStr">
        <is>
          <t>-</t>
        </is>
      </c>
      <c r="G324" s="28" t="n">
        <v>557.767999999999</v>
      </c>
      <c r="H324" s="25" t="inlineStr">
        <is>
          <t>Pacific</t>
        </is>
      </c>
      <c r="I324" s="25" t="inlineStr">
        <is>
          <t>Victoria (VIC)</t>
        </is>
      </c>
      <c r="J324" s="28" t="n">
        <v>1038.07496780072</v>
      </c>
      <c r="K324" s="25" t="inlineStr">
        <is>
          <t>29Metals Ltd. engages in the exploration and development of copper and base and precious metals resources. It operates through the following segments: Golden Grove, Capricorn Copper, and Exploration. The Golden Grove segment includes base and precious metals mining, mineral production, and associated activities. The Capricorn Copper segment refers to base and precious metals mining, mineral production and associated activities. The Exploration segment involves in the exploration for mineral resources at Redhill (Chile), and regional exploration at Golden Grove (Western Australia) and Capricorn Copper (Queensland). The company was founded on May 27, 2021 and is headquartered in Melbourne, Australia.</t>
        </is>
      </c>
      <c r="L324" s="25" t="inlineStr">
        <is>
          <t>Base Metal Mining</t>
        </is>
      </c>
      <c r="M324" s="25" t="inlineStr">
        <is>
          <t>Metal Ore Mining</t>
        </is>
      </c>
      <c r="N324" s="25" t="inlineStr">
        <is>
          <t>Mining and Mineral Products</t>
        </is>
      </c>
      <c r="O324" s="30" t="inlineStr">
        <is>
          <t>Non-Ferrous Metal Ore Mining</t>
        </is>
      </c>
      <c r="P324" s="28" t="n">
        <v>-23.2499999999999</v>
      </c>
      <c r="Q324" s="28" t="n">
        <v>15.2430024230435</v>
      </c>
      <c r="R324" s="28" t="n">
        <v>-177.607999999999</v>
      </c>
      <c r="S324" s="28" t="n">
        <v>2.73285667159106</v>
      </c>
      <c r="T324" s="28" t="n">
        <v>-4.16839976477674</v>
      </c>
      <c r="U324" s="28" t="n">
        <v>-31.8426299106439</v>
      </c>
    </row>
    <row r="325" ht="15" customHeight="1">
      <c r="A325" s="25" t="inlineStr">
        <is>
          <t>SLH-AU</t>
        </is>
      </c>
      <c r="B325" s="25" t="inlineStr">
        <is>
          <t>Silk Logistics Holdings Ltd.</t>
        </is>
      </c>
      <c r="C325" s="25" t="inlineStr">
        <is>
          <t>Public</t>
        </is>
      </c>
      <c r="D325" s="25" t="inlineStr">
        <is>
          <t>Australia</t>
        </is>
      </c>
      <c r="E325" s="26" t="n">
        <v>2013</v>
      </c>
      <c r="F325" s="27" t="inlineStr">
        <is>
          <t>-</t>
        </is>
      </c>
      <c r="G325" s="28" t="n">
        <v>556.4</v>
      </c>
      <c r="H325" s="25" t="inlineStr">
        <is>
          <t>Pacific</t>
        </is>
      </c>
      <c r="I325" s="25" t="inlineStr">
        <is>
          <t>Victoria (VIC)</t>
        </is>
      </c>
      <c r="J325" s="28" t="n">
        <v>628.212995248302</v>
      </c>
      <c r="K325" s="25" t="inlineStr">
        <is>
          <t>Silk Logistics Holdings Ltd. engages in logistics services. It operates through the Port Logistics and Contract Logistics segments. The Port Logistics segment includes the wharf cartage services to the customers. The Contract Logistics segment refers to the warehousing and related transport services to customers. The company was founded by Brendan Boyd and John Sood in 2008 and is headquartered in Port Melbourne, Australia.</t>
        </is>
      </c>
      <c r="L325" s="25" t="inlineStr">
        <is>
          <t>Air and Water Transportation Operators</t>
        </is>
      </c>
      <c r="M325" s="25" t="inlineStr">
        <is>
          <t>Cargo Transportation and Infrastructure Services</t>
        </is>
      </c>
      <c r="N325" s="25" t="inlineStr">
        <is>
          <t>Industrial Services</t>
        </is>
      </c>
      <c r="O325" s="30" t="inlineStr">
        <is>
          <t>Water Transportation</t>
        </is>
      </c>
      <c r="P325" s="28" t="n">
        <v>64.886</v>
      </c>
      <c r="Q325" s="28" t="n">
        <v>90.94399547321019</v>
      </c>
      <c r="R325" s="28" t="n">
        <v>7.41499999999999</v>
      </c>
      <c r="S325" s="28" t="n">
        <v>16.3450754852624</v>
      </c>
      <c r="T325" s="28" t="n">
        <v>11.6617541337167</v>
      </c>
      <c r="U325" s="28" t="n">
        <v>1.33267433501078</v>
      </c>
    </row>
    <row r="326" ht="15" customHeight="1">
      <c r="A326" s="25" t="inlineStr">
        <is>
          <t>PXA-AU</t>
        </is>
      </c>
      <c r="B326" s="25" t="inlineStr">
        <is>
          <t>PEXA Group Ltd.</t>
        </is>
      </c>
      <c r="C326" s="25" t="inlineStr">
        <is>
          <t>Public</t>
        </is>
      </c>
      <c r="D326" s="25" t="inlineStr">
        <is>
          <t>Australia</t>
        </is>
      </c>
      <c r="E326" s="26" t="n">
        <v>2018</v>
      </c>
      <c r="F326" s="27" t="inlineStr">
        <is>
          <t>-</t>
        </is>
      </c>
      <c r="G326" s="28" t="n">
        <v>393.626999999999</v>
      </c>
      <c r="H326" s="25" t="inlineStr">
        <is>
          <t>Pacific</t>
        </is>
      </c>
      <c r="I326" s="25" t="inlineStr">
        <is>
          <t>Victoria (VIC)</t>
        </is>
      </c>
      <c r="J326" s="28" t="n">
        <v>1754.87004325143</v>
      </c>
      <c r="K326" s="25" t="inlineStr">
        <is>
          <t>PEXA Group Ltd. engages in the development and provision of electronic conveyancing system. The company was founded on October 4, 2018 and is headquartered in Docklands, Australia.</t>
        </is>
      </c>
      <c r="L326" s="25" t="inlineStr">
        <is>
          <t>Other Real Estate Investment and Services</t>
        </is>
      </c>
      <c r="M326" s="25" t="inlineStr">
        <is>
          <t>Real Estate Investment and Services</t>
        </is>
      </c>
      <c r="N326" s="25" t="inlineStr">
        <is>
          <t>Real Estate</t>
        </is>
      </c>
      <c r="O326" s="30" t="inlineStr">
        <is>
          <t>Other Real Estate Investment and Services</t>
        </is>
      </c>
      <c r="P326" s="28" t="n">
        <v>223.541</v>
      </c>
      <c r="Q326" s="28" t="n">
        <v>131.366999713652</v>
      </c>
      <c r="R326" s="28" t="n">
        <v>-76.0829999999999</v>
      </c>
      <c r="S326" s="28" t="n">
        <v>33.3734728562827</v>
      </c>
      <c r="T326" s="28" t="n">
        <v>56.790057592594</v>
      </c>
      <c r="U326" s="28" t="n">
        <v>-19.3287045858135</v>
      </c>
    </row>
    <row r="327" ht="15" customHeight="1">
      <c r="A327" s="25" t="inlineStr">
        <is>
          <t>HCW-AU</t>
        </is>
      </c>
      <c r="B327" s="25" t="inlineStr">
        <is>
          <t>HealthCo Healthcare &amp; Wellness REIT</t>
        </is>
      </c>
      <c r="C327" s="25" t="inlineStr">
        <is>
          <t>Public</t>
        </is>
      </c>
      <c r="D327" s="25" t="inlineStr">
        <is>
          <t>Australia</t>
        </is>
      </c>
      <c r="E327" s="26" t="n">
        <v>2021</v>
      </c>
      <c r="F327" s="27" t="inlineStr">
        <is>
          <t>-</t>
        </is>
      </c>
      <c r="G327" s="28" t="n">
        <v>61.5</v>
      </c>
      <c r="H327" s="25" t="inlineStr">
        <is>
          <t>Pacific</t>
        </is>
      </c>
      <c r="I327" s="25" t="inlineStr">
        <is>
          <t>New South Wales (NSW)</t>
        </is>
      </c>
      <c r="J327" s="28" t="n">
        <v>1272.80003137009</v>
      </c>
      <c r="K327" s="25" t="inlineStr">
        <is>
          <t>HealthCo Healthcare &amp; Wellness REIT is a managed investment scheme company. It invests in various portfolios including hospitals, aged care, childcare, government, life sciences and research, and primary care and wellness property assets, as well as other healthcare and property adjacencies. The company was founded in the year 2021 and is headquartered in Sydney, Australia.</t>
        </is>
      </c>
      <c r="L327" s="25" t="inlineStr">
        <is>
          <t>Equity REITs</t>
        </is>
      </c>
      <c r="M327" s="25" t="inlineStr">
        <is>
          <t>Real Estate Investment Trusts (REITs)</t>
        </is>
      </c>
      <c r="N327" s="25" t="inlineStr">
        <is>
          <t>Real Estate</t>
        </is>
      </c>
      <c r="O327" s="30" t="inlineStr">
        <is>
          <t>Equity REITs</t>
        </is>
      </c>
      <c r="P327" s="28" t="n">
        <v>44.5999999999999</v>
      </c>
      <c r="Q327" s="28" t="n">
        <v>36.1000019801435</v>
      </c>
      <c r="R327" s="28" t="n">
        <v>-88.7999999999999</v>
      </c>
      <c r="S327" s="28" t="n">
        <v>58.6991869918699</v>
      </c>
      <c r="T327" s="28" t="n">
        <v>72.520325203252</v>
      </c>
      <c r="U327" s="28" t="n">
        <v>-144.390243902439</v>
      </c>
    </row>
    <row r="328" ht="15" customHeight="1">
      <c r="A328" s="25" t="inlineStr">
        <is>
          <t>IREN-US</t>
        </is>
      </c>
      <c r="B328" s="25" t="inlineStr">
        <is>
          <t>IREN Ltd.</t>
        </is>
      </c>
      <c r="C328" s="25" t="inlineStr">
        <is>
          <t>Public</t>
        </is>
      </c>
      <c r="D328" s="25" t="inlineStr">
        <is>
          <t>Australia</t>
        </is>
      </c>
      <c r="E328" s="26" t="n">
        <v>2018</v>
      </c>
      <c r="F328" s="27" t="n">
        <v>457</v>
      </c>
      <c r="G328" s="28" t="n">
        <v>765.61191189457</v>
      </c>
      <c r="H328" s="25" t="inlineStr">
        <is>
          <t>Pacific</t>
        </is>
      </c>
      <c r="I328" s="25" t="inlineStr">
        <is>
          <t>New South Wales (NSW)</t>
        </is>
      </c>
      <c r="J328" s="28" t="n">
        <v>4748.48859391112</v>
      </c>
      <c r="K328" s="25" t="inlineStr">
        <is>
          <t>IREN Ltd. is a vertically integrated data center business powering the future of Bitcoin, AI and beyond with renewable energy. It is strategically located in renewable-rich, fiber-connected regions across the US and Canada. IREN’s large-scale, grid-connected facilities are purpose-built for the next generation of power-dense computing applications. The company was founded by Daniel Roberts and William Roberts on November 6, 2018, and is headquartered in Sydney, Australia.</t>
        </is>
      </c>
      <c r="L328" s="25" t="inlineStr">
        <is>
          <t>Consumer Finance Services</t>
        </is>
      </c>
      <c r="M328" s="25" t="inlineStr">
        <is>
          <t>Specialty Finance</t>
        </is>
      </c>
      <c r="N328" s="25" t="inlineStr">
        <is>
          <t>Specialty Finance and Services</t>
        </is>
      </c>
      <c r="O328" s="30" t="inlineStr">
        <is>
          <t>Cryptocurrency Mining</t>
        </is>
      </c>
      <c r="P328" s="28" t="n">
        <v>240.4239490504</v>
      </c>
      <c r="Q328" s="28" t="n">
        <v>315.032793885868</v>
      </c>
      <c r="R328" s="28" t="n">
        <v>134.244656945723</v>
      </c>
      <c r="S328" s="28" t="n">
        <v>41.1478438346517</v>
      </c>
      <c r="T328" s="28" t="n">
        <v>31.4028485339852</v>
      </c>
      <c r="U328" s="28" t="n">
        <v>17.5342957522074</v>
      </c>
    </row>
    <row r="329" ht="15" customHeight="1">
      <c r="A329" s="25" t="inlineStr">
        <is>
          <t>SHA-AU</t>
        </is>
      </c>
      <c r="B329" s="25" t="inlineStr">
        <is>
          <t>Shape Australia Corp. Ltd.</t>
        </is>
      </c>
      <c r="C329" s="25" t="inlineStr">
        <is>
          <t>Public</t>
        </is>
      </c>
      <c r="D329" s="25" t="inlineStr">
        <is>
          <t>Australia</t>
        </is>
      </c>
      <c r="E329" s="26" t="n">
        <v>2021</v>
      </c>
      <c r="F329" s="27" t="n">
        <v>686</v>
      </c>
      <c r="G329" s="28" t="n">
        <v>947.64</v>
      </c>
      <c r="H329" s="25" t="inlineStr">
        <is>
          <t>Pacific</t>
        </is>
      </c>
      <c r="I329" s="25" t="inlineStr">
        <is>
          <t>New South Wales (NSW)</t>
        </is>
      </c>
      <c r="J329" s="28" t="n">
        <v>275.066006779419</v>
      </c>
      <c r="K329" s="25" t="inlineStr">
        <is>
          <t>Shape Australia Corp. Ltd. operates an end-to-end service and delivery model across the project lifecycle, from new build, fit-out and refurbishment, and recurring minor works. The firm is focused on commercial fit-out and refurbishments, with select capabilities in new build. It acts as a head contractor on fit-out and refurbishment projects across Australia, with capabilities across a range of projects and services. The company was founded in 1989 and is headquartered in Sydney, Australia.</t>
        </is>
      </c>
      <c r="L329" s="25" t="inlineStr">
        <is>
          <t>Specialty Contracting Services</t>
        </is>
      </c>
      <c r="M329" s="25" t="inlineStr">
        <is>
          <t>Facilities and Construction Services</t>
        </is>
      </c>
      <c r="N329" s="25" t="inlineStr">
        <is>
          <t>Industrial Services</t>
        </is>
      </c>
      <c r="O329" s="30" t="inlineStr">
        <is>
          <t>Commercial Specialty Engineering Contractors</t>
        </is>
      </c>
      <c r="P329" s="28" t="n">
        <v>81.271</v>
      </c>
      <c r="Q329" s="28" t="n">
        <v>28.0299897579297</v>
      </c>
      <c r="R329" s="28" t="n">
        <v>21.123</v>
      </c>
      <c r="S329" s="28" t="n">
        <v>2.95787429825672</v>
      </c>
      <c r="T329" s="28" t="n">
        <v>8.576147060065001</v>
      </c>
      <c r="U329" s="28" t="n">
        <v>2.22901101684184</v>
      </c>
    </row>
    <row r="330" ht="15" customHeight="1">
      <c r="A330" s="25" t="inlineStr">
        <is>
          <t>TLC-AU</t>
        </is>
      </c>
      <c r="B330" s="25" t="inlineStr">
        <is>
          <t>The Lottery Corp. Ltd.</t>
        </is>
      </c>
      <c r="C330" s="25" t="inlineStr">
        <is>
          <t>Public</t>
        </is>
      </c>
      <c r="D330" s="25" t="inlineStr">
        <is>
          <t>Australia</t>
        </is>
      </c>
      <c r="E330" s="26" t="n">
        <v>1998</v>
      </c>
      <c r="F330" s="27" t="n">
        <v>900</v>
      </c>
      <c r="G330" s="28" t="n">
        <v>3727.19999999999</v>
      </c>
      <c r="H330" s="25" t="inlineStr">
        <is>
          <t>Pacific</t>
        </is>
      </c>
      <c r="I330" s="25" t="inlineStr">
        <is>
          <t>Queensland (QLD)</t>
        </is>
      </c>
      <c r="J330" s="28" t="n">
        <v>4405.20010857284</v>
      </c>
      <c r="K330" s="25" t="inlineStr">
        <is>
          <t>The Lottery Corp. Ltd. engages in the provision of gaming and entertainment services. It operates through the Lotteries and Keno segments. The company was founded in 1881 and is headquartered in Brisbane, Australia.</t>
        </is>
      </c>
      <c r="L330" s="25" t="inlineStr">
        <is>
          <t>Arts, Entertainment and Recreation Providers</t>
        </is>
      </c>
      <c r="M330" s="25" t="inlineStr">
        <is>
          <t>Hospitality Services</t>
        </is>
      </c>
      <c r="N330" s="25" t="inlineStr">
        <is>
          <t>Hospitality Services</t>
        </is>
      </c>
      <c r="O330" s="30" t="inlineStr">
        <is>
          <t>Gaming Industries</t>
        </is>
      </c>
      <c r="P330" s="28" t="n">
        <v>2813.49999999999</v>
      </c>
      <c r="Q330" s="28" t="n">
        <v>724.000005665622</v>
      </c>
      <c r="R330" s="28" t="n">
        <v>365.5</v>
      </c>
      <c r="S330" s="28" t="n">
        <v>19.4247692637905</v>
      </c>
      <c r="T330" s="28" t="n">
        <v>75.4856192315948</v>
      </c>
      <c r="U330" s="28" t="n">
        <v>9.80628890319811</v>
      </c>
    </row>
    <row r="331" ht="15" customHeight="1">
      <c r="A331" s="25" t="inlineStr">
        <is>
          <t>RPL-AU</t>
        </is>
      </c>
      <c r="B331" s="25" t="inlineStr">
        <is>
          <t>Regal Partners Ltd.</t>
        </is>
      </c>
      <c r="C331" s="25" t="inlineStr">
        <is>
          <t>Public</t>
        </is>
      </c>
      <c r="D331" s="25" t="inlineStr">
        <is>
          <t>Australia</t>
        </is>
      </c>
      <c r="E331" s="26" t="n">
        <v>2008</v>
      </c>
      <c r="F331" s="27" t="inlineStr">
        <is>
          <t>-</t>
        </is>
      </c>
      <c r="G331" s="28" t="n">
        <v>253.195999999999</v>
      </c>
      <c r="H331" s="25" t="inlineStr">
        <is>
          <t>Pacific</t>
        </is>
      </c>
      <c r="I331" s="25" t="inlineStr">
        <is>
          <t>New South Wales (NSW)</t>
        </is>
      </c>
      <c r="J331" s="28" t="n">
        <v>949.218970556881</v>
      </c>
      <c r="K331" s="25" t="inlineStr">
        <is>
          <t>Regal Partners Ltd. engages in the provision of investment management services. It offers access to a diverse range of strategies covering hedge funds, private markets and real assets. The company is headquartered in Sydney, Australia.</t>
        </is>
      </c>
      <c r="L331" s="25" t="inlineStr">
        <is>
          <t>Asset Management and Financial Advisory Services</t>
        </is>
      </c>
      <c r="M331" s="25" t="inlineStr">
        <is>
          <t>Investment Services</t>
        </is>
      </c>
      <c r="N331" s="25" t="inlineStr">
        <is>
          <t>Investment Services</t>
        </is>
      </c>
      <c r="O331" s="30" t="inlineStr">
        <is>
          <t>Alternative Investment Managers</t>
        </is>
      </c>
      <c r="P331" s="28" t="n">
        <v>223.173999999999</v>
      </c>
      <c r="Q331" s="28" t="n">
        <v>119.832994529841</v>
      </c>
      <c r="R331" s="28" t="n">
        <v>66.2399999999999</v>
      </c>
      <c r="S331" s="28" t="n">
        <v>47.3281568429201</v>
      </c>
      <c r="T331" s="28" t="n">
        <v>88.1427826663928</v>
      </c>
      <c r="U331" s="28" t="n">
        <v>26.1615507353987</v>
      </c>
    </row>
    <row r="332" ht="15" customHeight="1">
      <c r="A332" s="25" t="inlineStr">
        <is>
          <t>GYG-AU</t>
        </is>
      </c>
      <c r="B332" s="25" t="inlineStr">
        <is>
          <t>Guzman y Gomez Ltd.</t>
        </is>
      </c>
      <c r="C332" s="25" t="inlineStr">
        <is>
          <t>Public</t>
        </is>
      </c>
      <c r="D332" s="25" t="inlineStr">
        <is>
          <t>Australia</t>
        </is>
      </c>
      <c r="E332" s="26" t="n">
        <v>2007</v>
      </c>
      <c r="F332" s="27" t="n">
        <v>13000</v>
      </c>
      <c r="G332" s="28" t="n">
        <v>435.982</v>
      </c>
      <c r="H332" s="25" t="inlineStr">
        <is>
          <t>Pacific</t>
        </is>
      </c>
      <c r="I332" s="25" t="inlineStr">
        <is>
          <t>New South Wales (NSW)</t>
        </is>
      </c>
      <c r="J332" s="28" t="n">
        <v>869.33902142618</v>
      </c>
      <c r="K332" s="25" t="inlineStr">
        <is>
          <t>Guzman y Gomez Ltd. engages in delivering clean, fresh, made-to-order, Mexican-inspired food. It operates through Australia and US geographical segments. The Australia segment includes the Australian corporate restaurants and the royalty and other revenue from all franchise restaurants, including those in Japan and Singapore. The US segment consists of the US corporate restaurants and associated administrative costs incurred in the US, including that of non-restaurant personnel based in the US. The company was founded by Steven Marks and Robert Hazan in 2005 and is headquartered in Sydney, Australia.</t>
        </is>
      </c>
      <c r="L332" s="25" t="inlineStr">
        <is>
          <t>Restaurants and Bars</t>
        </is>
      </c>
      <c r="M332" s="25" t="inlineStr">
        <is>
          <t>Hospitality Services</t>
        </is>
      </c>
      <c r="N332" s="25" t="inlineStr">
        <is>
          <t>Hospitality Services</t>
        </is>
      </c>
      <c r="O332" s="30" t="inlineStr">
        <is>
          <t>Limited-Service and Fast Food Restaurants</t>
        </is>
      </c>
      <c r="P332" s="28" t="n">
        <v>97.6970000000001</v>
      </c>
      <c r="Q332" s="28" t="n">
        <v>82.164011405186</v>
      </c>
      <c r="R332" s="28" t="n">
        <v>14.4759999999999</v>
      </c>
      <c r="S332" s="28" t="n">
        <v>18.8457321632544</v>
      </c>
      <c r="T332" s="28" t="n">
        <v>22.4084939286484</v>
      </c>
      <c r="U332" s="28" t="n">
        <v>3.320320563693</v>
      </c>
    </row>
    <row r="333" ht="15" customHeight="1">
      <c r="A333" s="25" t="inlineStr">
        <is>
          <t>LGL-AU</t>
        </is>
      </c>
      <c r="B333" s="25" t="inlineStr">
        <is>
          <t>Lynch Group Holdings Ltd.</t>
        </is>
      </c>
      <c r="C333" s="25" t="inlineStr">
        <is>
          <t>Public</t>
        </is>
      </c>
      <c r="D333" s="25" t="inlineStr">
        <is>
          <t>Australia</t>
        </is>
      </c>
      <c r="E333" s="26" t="n">
        <v>2015</v>
      </c>
      <c r="F333" s="27" t="inlineStr">
        <is>
          <t>-</t>
        </is>
      </c>
      <c r="G333" s="28" t="n">
        <v>430.484728454094</v>
      </c>
      <c r="H333" s="25" t="inlineStr">
        <is>
          <t>Pacific</t>
        </is>
      </c>
      <c r="I333" s="25" t="inlineStr">
        <is>
          <t>New South Wales (NSW)</t>
        </is>
      </c>
      <c r="J333" s="28" t="n">
        <v>343.926242851585</v>
      </c>
      <c r="K333" s="25" t="inlineStr">
        <is>
          <t>Lynch Group Holdings Ltd. engages in the horticultural production and wholesale of flowers and plants. It operates through Australia and China geographical segments. The Australia segment focuses on vertically integrated production farm and wholesale operation in Australia. The China segment is involved in the production of farm and distribution operation in China, primarily supplying the domestic China market as well as the Australian segment. The company was founded in 1915 and is headquartered in Ingleburn, Australia.</t>
        </is>
      </c>
      <c r="L333" s="25" t="inlineStr">
        <is>
          <t>Crop Production</t>
        </is>
      </c>
      <c r="M333" s="25" t="inlineStr">
        <is>
          <t>Agriculture</t>
        </is>
      </c>
      <c r="N333" s="25" t="inlineStr">
        <is>
          <t>Food and Tobacco Production</t>
        </is>
      </c>
      <c r="O333" s="30" t="inlineStr">
        <is>
          <t>Other Farming</t>
        </is>
      </c>
      <c r="P333" s="28" t="n">
        <v>37.601723229238</v>
      </c>
      <c r="Q333" s="28" t="n">
        <v>36.7316737196616</v>
      </c>
      <c r="R333" s="28" t="n">
        <v>-4.03118474300688</v>
      </c>
      <c r="S333" s="28" t="n">
        <v>8.532633315135961</v>
      </c>
      <c r="T333" s="28" t="n">
        <v>8.734740338935801</v>
      </c>
      <c r="U333" s="28" t="n">
        <v>-0.9364292102726119</v>
      </c>
    </row>
    <row r="334" ht="15" customHeight="1">
      <c r="A334" s="25" t="inlineStr">
        <is>
          <t>TLS-AU</t>
        </is>
      </c>
      <c r="B334" s="25" t="inlineStr">
        <is>
          <t>Telstra Group Ltd.</t>
        </is>
      </c>
      <c r="C334" s="25" t="inlineStr">
        <is>
          <t>Public</t>
        </is>
      </c>
      <c r="D334" s="25" t="inlineStr">
        <is>
          <t>Australia</t>
        </is>
      </c>
      <c r="E334" s="26" t="n">
        <v>1992</v>
      </c>
      <c r="F334" s="27" t="n">
        <v>30553</v>
      </c>
      <c r="G334" s="28" t="n">
        <v>23125</v>
      </c>
      <c r="H334" s="25" t="inlineStr">
        <is>
          <t>Pacific</t>
        </is>
      </c>
      <c r="I334" s="25" t="inlineStr">
        <is>
          <t>Victoria (VIC)</t>
        </is>
      </c>
      <c r="J334" s="28" t="n">
        <v>44968.0011083046</v>
      </c>
      <c r="K334" s="25" t="inlineStr">
        <is>
          <t>Telstra Group Ltd. engages in the provision of telecommunications and technology services. It operates through the following segments: Telstra Consumer and Small Business (TC&amp;SB), Telstra Enterprise (TE), Networks and IT (N&amp;IT), Telstra InfraCo, and All Other. The TC&amp;SB segment consists of telecommunication, media, and technology products and services to consumer and small business customers, using mobile and fixed network technologies. The TE segment offers telecommunication services, technology solutions, network capacity and management, unified communications, cloud, security, industry solutions, and monitoring services to government and large enterprise. The N&amp;IT segment maintains reliability and security network platforms and data. Telstra InfraCo covers telecommunication products and services delivered over Telstra networks to other carriers, carriage service providers, and internet service providers. The company was founded in 1992 and is headquartered in Melbourne, Australia.</t>
        </is>
      </c>
      <c r="L334" s="25" t="inlineStr">
        <is>
          <t>Pan-Asia/Pacific Mixed Telecommunications Services</t>
        </is>
      </c>
      <c r="M334" s="25" t="inlineStr">
        <is>
          <t>General Telecommunications Services</t>
        </is>
      </c>
      <c r="N334" s="25" t="inlineStr">
        <is>
          <t>Telecommunications</t>
        </is>
      </c>
      <c r="O334" s="30" t="inlineStr">
        <is>
          <t>Australia/New Zealand Mixed Telecom Services</t>
        </is>
      </c>
      <c r="P334" s="28" t="n">
        <v>6231.99999999999</v>
      </c>
      <c r="Q334" s="28" t="n">
        <v>8558.00000409757</v>
      </c>
      <c r="R334" s="28" t="n">
        <v>2171.99999999999</v>
      </c>
      <c r="S334" s="28" t="n">
        <v>37.0075675675676</v>
      </c>
      <c r="T334" s="28" t="n">
        <v>26.9491891891892</v>
      </c>
      <c r="U334" s="28" t="n">
        <v>9.392432432432431</v>
      </c>
    </row>
    <row r="335" ht="15" customHeight="1">
      <c r="A335" s="25" t="inlineStr">
        <is>
          <t>ANZ-AU</t>
        </is>
      </c>
      <c r="B335" s="25" t="inlineStr">
        <is>
          <t>ANZ Group Holdings Ltd.</t>
        </is>
      </c>
      <c r="C335" s="25" t="inlineStr">
        <is>
          <t>Public</t>
        </is>
      </c>
      <c r="D335" s="25" t="inlineStr">
        <is>
          <t>Australia</t>
        </is>
      </c>
      <c r="E335" s="26" t="n">
        <v>1835</v>
      </c>
      <c r="F335" s="27" t="n">
        <v>42698</v>
      </c>
      <c r="G335" s="28" t="n">
        <v>69537.9999999999</v>
      </c>
      <c r="H335" s="25" t="inlineStr">
        <is>
          <t>Pacific</t>
        </is>
      </c>
      <c r="I335" s="25" t="inlineStr">
        <is>
          <t>Victoria (VIC)</t>
        </is>
      </c>
      <c r="J335" s="28" t="n">
        <v>1297108.04936477</v>
      </c>
      <c r="K335" s="25" t="inlineStr">
        <is>
          <t>ANZ Group Holdings Ltd. operates as a non-operating holding company. The company provides banking, financial products, and services to retail and business customers. It operates through the following segments: Australia Retail, Australia Commercial, Institutional, New Zealand, Pacific, and Group Centre. The Australia Retail segment provides a full range of banking services to Australian consumers. The Australia Commercial segment refers to a range of banking products and financial services. The Institutional segment is involved in transaction banking, corporate finance, and markets. The New Zealand segment consist of Personal and Business and Agri units. The Personal unit provides a full range of banking and wealth management services to consumer and private banking customers. The Business and Agri unit refer to a range of banking services through digital, branch and contact center channels, and traditional relationship banking. The Pacific segment focuses on products and services to retail, commercial customers, and to governments located in the Pacific region. The Group Centre segment provides support to the operating divisions, including technology, property, risk management, financial management, treasury, strategy, marketing, human resources, corporate affairs, and shareholder functions. The company was founded on 1835 and is headquartered in Docklands, Australia.</t>
        </is>
      </c>
      <c r="L335" s="25" t="inlineStr">
        <is>
          <t>Asia/Pacific Banks</t>
        </is>
      </c>
      <c r="M335" s="25" t="inlineStr">
        <is>
          <t>International Banks</t>
        </is>
      </c>
      <c r="N335" s="25" t="inlineStr">
        <is>
          <t>Banking</t>
        </is>
      </c>
      <c r="O335" s="30" t="inlineStr">
        <is>
          <t>Australia and New Zealand Banks</t>
        </is>
      </c>
      <c r="P335" s="28" t="inlineStr">
        <is>
          <t>-</t>
        </is>
      </c>
      <c r="Q335" s="28" t="inlineStr">
        <is>
          <t>-</t>
        </is>
      </c>
      <c r="R335" s="28" t="n">
        <v>5891</v>
      </c>
      <c r="S335" s="28" t="inlineStr">
        <is>
          <t>-</t>
        </is>
      </c>
      <c r="T335" s="28" t="inlineStr">
        <is>
          <t>-</t>
        </is>
      </c>
      <c r="U335" s="28" t="n">
        <v>8.47162702407317</v>
      </c>
    </row>
    <row r="336" ht="15" customHeight="1">
      <c r="A336" s="25" t="inlineStr">
        <is>
          <t>ASK-AU</t>
        </is>
      </c>
      <c r="B336" s="25" t="inlineStr">
        <is>
          <t>Abacus Storage King</t>
        </is>
      </c>
      <c r="C336" s="25" t="inlineStr">
        <is>
          <t>Public</t>
        </is>
      </c>
      <c r="D336" s="25" t="inlineStr">
        <is>
          <t>Australia</t>
        </is>
      </c>
      <c r="E336" s="26" t="inlineStr">
        <is>
          <t>-</t>
        </is>
      </c>
      <c r="F336" s="27" t="inlineStr">
        <is>
          <t>-</t>
        </is>
      </c>
      <c r="G336" s="28" t="n">
        <v>247.257999999999</v>
      </c>
      <c r="H336" s="25" t="inlineStr">
        <is>
          <t>Pacific</t>
        </is>
      </c>
      <c r="I336" s="25" t="inlineStr">
        <is>
          <t>New South Wales (NSW)</t>
        </is>
      </c>
      <c r="J336" s="28" t="n">
        <v>3616.81908914199</v>
      </c>
      <c r="K336" s="25" t="inlineStr">
        <is>
          <t>Abacus Storage King REIT is a real estate investment trust. The company is headquartered in Sydney, Australia.</t>
        </is>
      </c>
      <c r="L336" s="25" t="inlineStr">
        <is>
          <t>Equity REITs</t>
        </is>
      </c>
      <c r="M336" s="25" t="inlineStr">
        <is>
          <t>Real Estate Investment Trusts (REITs)</t>
        </is>
      </c>
      <c r="N336" s="25" t="inlineStr">
        <is>
          <t>Real Estate</t>
        </is>
      </c>
      <c r="O336" s="30" t="inlineStr">
        <is>
          <t>Equity REITs</t>
        </is>
      </c>
      <c r="P336" s="28" t="n">
        <v>145.697999999999</v>
      </c>
      <c r="Q336" s="28" t="n">
        <v>127.949003916344</v>
      </c>
      <c r="R336" s="28" t="n">
        <v>289.044999999999</v>
      </c>
      <c r="S336" s="28" t="n">
        <v>51.7471628824952</v>
      </c>
      <c r="T336" s="28" t="n">
        <v>58.9254948272654</v>
      </c>
      <c r="U336" s="28" t="n">
        <v>116.900160965469</v>
      </c>
    </row>
    <row r="337" ht="15" customHeight="1">
      <c r="A337" s="25" t="inlineStr">
        <is>
          <t>SYL-AU</t>
        </is>
      </c>
      <c r="B337" s="25" t="inlineStr">
        <is>
          <t>Symal Group Ltd.</t>
        </is>
      </c>
      <c r="C337" s="25" t="inlineStr">
        <is>
          <t>Public</t>
        </is>
      </c>
      <c r="D337" s="25" t="inlineStr">
        <is>
          <t>Australia</t>
        </is>
      </c>
      <c r="E337" s="26" t="n">
        <v>2016</v>
      </c>
      <c r="F337" s="27" t="n">
        <v>1300</v>
      </c>
      <c r="G337" s="28" t="n">
        <v>879.599999999999</v>
      </c>
      <c r="H337" s="25" t="inlineStr">
        <is>
          <t>Pacific</t>
        </is>
      </c>
      <c r="I337" s="25" t="inlineStr">
        <is>
          <t>Victoria (VIC)</t>
        </is>
      </c>
      <c r="J337" s="28" t="n">
        <v>572.459014109122</v>
      </c>
      <c r="K337" s="25" t="inlineStr">
        <is>
          <t>Symal Group Ltd. engages in the provision of construction services. The firm specializes in civil infrastructure and offers a range of services, including contracting, plant and equipment hire, material sales, recycling, and remediation. It provides end-to-end civil construction solutions across the entire project lifecycle through its main brands: Symal, Sycle, Unyte, and Wamarra. The company was founded by Joe Bartolo in 2001 and is headquartered in Melbourne, Australia.</t>
        </is>
      </c>
      <c r="L337" s="25" t="inlineStr">
        <is>
          <t>Infrastructure Construction/Contracting Services</t>
        </is>
      </c>
      <c r="M337" s="25" t="inlineStr">
        <is>
          <t>Facilities and Construction Services</t>
        </is>
      </c>
      <c r="N337" s="25" t="inlineStr">
        <is>
          <t>Industrial Services</t>
        </is>
      </c>
      <c r="O337" s="30" t="inlineStr">
        <is>
          <t>Infrastructure Construction</t>
        </is>
      </c>
      <c r="P337" s="28" t="n">
        <v>81.88199999999991</v>
      </c>
      <c r="Q337" s="28" t="n">
        <v>82.49700967662049</v>
      </c>
      <c r="R337" s="28" t="n">
        <v>34.642</v>
      </c>
      <c r="S337" s="28" t="n">
        <v>9.37892223738063</v>
      </c>
      <c r="T337" s="28" t="n">
        <v>9.30900409276944</v>
      </c>
      <c r="U337" s="28" t="n">
        <v>3.93838108231014</v>
      </c>
    </row>
    <row r="338" ht="15" customHeight="1">
      <c r="A338" s="25" t="inlineStr">
        <is>
          <t>TEA-AU</t>
        </is>
      </c>
      <c r="B338" s="25" t="inlineStr">
        <is>
          <t>Tasmea Ltd.</t>
        </is>
      </c>
      <c r="C338" s="25" t="inlineStr">
        <is>
          <t>Public</t>
        </is>
      </c>
      <c r="D338" s="25" t="inlineStr">
        <is>
          <t>Australia</t>
        </is>
      </c>
      <c r="E338" s="26" t="n">
        <v>1999</v>
      </c>
      <c r="F338" s="27" t="n">
        <v>1800</v>
      </c>
      <c r="G338" s="28" t="n">
        <v>547.913999999999</v>
      </c>
      <c r="H338" s="25" t="inlineStr">
        <is>
          <t>Pacific</t>
        </is>
      </c>
      <c r="I338" s="25" t="inlineStr">
        <is>
          <t>Western Australia (WA)</t>
        </is>
      </c>
      <c r="J338" s="28" t="n">
        <v>493.556012164438</v>
      </c>
      <c r="K338" s="25" t="inlineStr">
        <is>
          <t>Tasmea Ltd. is a skilled services company, which engages in the provision of essential maintenance, engineering, and specialized project services and solutions across the following four service streams to the mining and resources, oil and gas, waste and water, power and renewable energy, and defense and infrastructure industries. It operates through the following segments: Electrical, Mechanical, Civil, Water and Fluid, and Corporate. Electrical refers to remote area specialist services in industrial and commercial electrical and instrumentation services, maintenance and compliance of electrical assets, and indigenous trade services. Mechanical focuses on remote area specialist services in industrial and commercial refurbishment and repairs, shutdown, and mechanical maintenance. Civil covers remote area specialists in commercial earthworks, waste management, and civil maintenance. Water and Fluid relate to remote area specialist services in industrial and commercial geomembrane solutions, lubrication solutions and maintenance, and drainage solutions. The company was founded by Stephen Elliot Young and Mark Gabriel Vartuli in 1999 and is headquartered in Jandakot, Australia.</t>
        </is>
      </c>
      <c r="L338" s="25" t="inlineStr">
        <is>
          <t>Specialty Contracting Services</t>
        </is>
      </c>
      <c r="M338" s="25" t="inlineStr">
        <is>
          <t>Facilities and Construction Services</t>
        </is>
      </c>
      <c r="N338" s="25" t="inlineStr">
        <is>
          <t>Industrial Services</t>
        </is>
      </c>
      <c r="O338" s="30" t="inlineStr">
        <is>
          <t>Specialty Engineering Contractors</t>
        </is>
      </c>
      <c r="P338" s="28" t="n">
        <v>142.559999999999</v>
      </c>
      <c r="Q338" s="28" t="n">
        <v>81.815000929009</v>
      </c>
      <c r="R338" s="28" t="n">
        <v>53.07</v>
      </c>
      <c r="S338" s="28" t="n">
        <v>14.9320878824049</v>
      </c>
      <c r="T338" s="28" t="n">
        <v>26.0186817639265</v>
      </c>
      <c r="U338" s="28" t="n">
        <v>9.685826607825319</v>
      </c>
    </row>
    <row r="339" ht="15" customHeight="1">
      <c r="A339" s="25" t="inlineStr">
        <is>
          <t>CVL-AU</t>
        </is>
      </c>
      <c r="B339" s="25" t="inlineStr">
        <is>
          <t>Civmec Ltd.</t>
        </is>
      </c>
      <c r="C339" s="25" t="inlineStr">
        <is>
          <t>Public</t>
        </is>
      </c>
      <c r="D339" s="25" t="inlineStr">
        <is>
          <t>Australia</t>
        </is>
      </c>
      <c r="E339" s="26" t="n">
        <v>2023</v>
      </c>
      <c r="F339" s="27" t="inlineStr">
        <is>
          <t>-</t>
        </is>
      </c>
      <c r="G339" s="28" t="n">
        <v>810.5860000029149</v>
      </c>
      <c r="H339" s="25" t="inlineStr">
        <is>
          <t>Pacific</t>
        </is>
      </c>
      <c r="I339" s="25" t="inlineStr">
        <is>
          <t>Western Australia (WA)</t>
        </is>
      </c>
      <c r="J339" s="28" t="n">
        <v>911.899022475137</v>
      </c>
      <c r="K339" s="25" t="inlineStr">
        <is>
          <t>Civmec Ltd. engages in the multidisciplinary construction and engineering services provider to the Energy, Resources, Infrastructure, Marine and Defence sectors. Its vision is to grow sustainably, delivering mutually beneficial outcomes for all stakeholders. The company was founded by James Finbarr Fitzgerald and Patrick John Tallon on June 3, 2010 and is headquartered in Henderson, Australia.</t>
        </is>
      </c>
      <c r="L339" s="25" t="inlineStr">
        <is>
          <t>Specialty Contracting Services</t>
        </is>
      </c>
      <c r="M339" s="25" t="inlineStr">
        <is>
          <t>Facilities and Construction Services</t>
        </is>
      </c>
      <c r="N339" s="25" t="inlineStr">
        <is>
          <t>Industrial Services</t>
        </is>
      </c>
      <c r="O339" s="30" t="inlineStr">
        <is>
          <t>Industrial Specialty Engineering Contractors</t>
        </is>
      </c>
      <c r="P339" s="28" t="n">
        <v>92.8450000003338</v>
      </c>
      <c r="Q339" s="28" t="n">
        <v>85.032002638435</v>
      </c>
      <c r="R339" s="28" t="n">
        <v>42.536000000153</v>
      </c>
      <c r="S339" s="28" t="n">
        <v>10.4901885795824</v>
      </c>
      <c r="T339" s="28" t="n">
        <v>11.454059162137</v>
      </c>
      <c r="U339" s="28" t="n">
        <v>5.24756164059088</v>
      </c>
    </row>
    <row r="340" ht="15" customHeight="1">
      <c r="A340" s="25" t="inlineStr">
        <is>
          <t>DGT-AU</t>
        </is>
      </c>
      <c r="B340" s="25" t="inlineStr">
        <is>
          <t>DigiCo Infrastructure REIT</t>
        </is>
      </c>
      <c r="C340" s="25" t="inlineStr">
        <is>
          <t>Public</t>
        </is>
      </c>
      <c r="D340" s="25" t="inlineStr">
        <is>
          <t>Australia</t>
        </is>
      </c>
      <c r="E340" s="26" t="inlineStr">
        <is>
          <t>-</t>
        </is>
      </c>
      <c r="F340" s="27" t="inlineStr">
        <is>
          <t>-</t>
        </is>
      </c>
      <c r="G340" s="28" t="n">
        <v>113.9</v>
      </c>
      <c r="H340" s="25" t="inlineStr">
        <is>
          <t>Pacific</t>
        </is>
      </c>
      <c r="I340" s="25" t="inlineStr">
        <is>
          <t>New South Wales (NSW)</t>
        </is>
      </c>
      <c r="J340" s="28" t="n">
        <v>4564.70011250396</v>
      </c>
      <c r="K340" s="25" t="inlineStr">
        <is>
          <t>DigiCo Infrastructure REIT engages in the ownership, operation, and development of data centers, with a global portfolio and broad investment mandate across stabilized, value-add, and development opportunities. It is also involved in the ownership of data center properties with core and shell contracting structures that are leased to hyperscale and enterprise customers, as well as ownership, operation, and management of co-location data center assets, and greenfield and brownfield development of new data center assets across different business models. The company is headquartered in Sydney, Australia.</t>
        </is>
      </c>
      <c r="L340" s="25" t="inlineStr">
        <is>
          <t>Equity REITs</t>
        </is>
      </c>
      <c r="M340" s="25" t="inlineStr">
        <is>
          <t>Real Estate Investment Trusts (REITs)</t>
        </is>
      </c>
      <c r="N340" s="25" t="inlineStr">
        <is>
          <t>Real Estate</t>
        </is>
      </c>
      <c r="O340" s="30" t="inlineStr">
        <is>
          <t>Equity REITs</t>
        </is>
      </c>
      <c r="P340" s="28" t="n">
        <v>8.599999999999991</v>
      </c>
      <c r="Q340" s="28" t="n">
        <v>25.8999959457701</v>
      </c>
      <c r="R340" s="28" t="n">
        <v>-67.89999999999991</v>
      </c>
      <c r="S340" s="28" t="n">
        <v>22.739244951712</v>
      </c>
      <c r="T340" s="28" t="n">
        <v>7.55048287971906</v>
      </c>
      <c r="U340" s="28" t="n">
        <v>-59.6136962247586</v>
      </c>
    </row>
    <row r="341" ht="15" customHeight="1">
      <c r="A341" s="25" t="inlineStr">
        <is>
          <t>GGP-GB</t>
        </is>
      </c>
      <c r="B341" s="25" t="inlineStr">
        <is>
          <t>Greatland Resources Ltd.</t>
        </is>
      </c>
      <c r="C341" s="25" t="inlineStr">
        <is>
          <t>Public</t>
        </is>
      </c>
      <c r="D341" s="25" t="inlineStr">
        <is>
          <t>Australia</t>
        </is>
      </c>
      <c r="E341" s="26" t="n">
        <v>2023</v>
      </c>
      <c r="F341" s="27" t="inlineStr">
        <is>
          <t>-</t>
        </is>
      </c>
      <c r="G341" s="28" t="n">
        <v>957.3670000125539</v>
      </c>
      <c r="H341" s="25" t="inlineStr">
        <is>
          <t>Pacific</t>
        </is>
      </c>
      <c r="I341" s="25" t="inlineStr">
        <is>
          <t>Western Australia (WA)</t>
        </is>
      </c>
      <c r="J341" s="28" t="n">
        <v>2115.37604979143</v>
      </c>
      <c r="K341" s="25" t="inlineStr">
        <is>
          <t>Greatland Resources Ltd. operates as a gold and copper mining company. It focuses on discovery, development, extraction, processing, and sale of precious and base metals. The firm operates the Telfer gold mine, one of Australia’s gold-copper mining complexes and is concurrently developing the nearby Havieron gold-copper project and exploring across a significant regional portfolio. The company was founded on May 30, 2023 and is headquartered in Subiaco, Australia.</t>
        </is>
      </c>
      <c r="L341" s="25" t="inlineStr">
        <is>
          <t>Precious Metal Mining</t>
        </is>
      </c>
      <c r="M341" s="25" t="inlineStr">
        <is>
          <t>Metal Ore Mining</t>
        </is>
      </c>
      <c r="N341" s="25" t="inlineStr">
        <is>
          <t>Mining and Mineral Products</t>
        </is>
      </c>
      <c r="O341" s="30" t="inlineStr">
        <is>
          <t>Asia/Pacific Gold Mining</t>
        </is>
      </c>
      <c r="P341" s="28" t="n">
        <v>484.21100000635</v>
      </c>
      <c r="Q341" s="28" t="n">
        <v>466.887000383968</v>
      </c>
      <c r="R341" s="28" t="n">
        <v>337.260000004423</v>
      </c>
      <c r="S341" s="28" t="n">
        <v>48.7678187462984</v>
      </c>
      <c r="T341" s="28" t="n">
        <v>50.5773647932298</v>
      </c>
      <c r="U341" s="28" t="n">
        <v>35.2278697719892</v>
      </c>
    </row>
    <row r="342" ht="15" customHeight="1">
      <c r="A342" s="25" t="inlineStr">
        <is>
          <t>GLF-AU</t>
        </is>
      </c>
      <c r="B342" s="25" t="inlineStr">
        <is>
          <t>Gemlife Communities Group</t>
        </is>
      </c>
      <c r="C342" s="25" t="inlineStr">
        <is>
          <t>Public</t>
        </is>
      </c>
      <c r="D342" s="25" t="inlineStr">
        <is>
          <t>Australia</t>
        </is>
      </c>
      <c r="E342" s="26" t="n">
        <v>2015</v>
      </c>
      <c r="F342" s="27" t="inlineStr">
        <is>
          <t>-</t>
        </is>
      </c>
      <c r="G342" s="28" t="n">
        <v>267.5</v>
      </c>
      <c r="H342" s="25" t="inlineStr">
        <is>
          <t>Pacific</t>
        </is>
      </c>
      <c r="I342" s="25" t="inlineStr">
        <is>
          <t>Queensland (QLD)</t>
        </is>
      </c>
      <c r="J342" s="28" t="n">
        <v>1376.69995729716</v>
      </c>
      <c r="K342" s="25" t="inlineStr">
        <is>
          <t>Gemlife Communities Group engages in developing, building, owning, and operating a portfolio of land lease community assets. The company was founded in 2015 and is headquartered in Helensvale, Australia.</t>
        </is>
      </c>
      <c r="L342" s="25" t="inlineStr">
        <is>
          <t>-</t>
        </is>
      </c>
      <c r="M342" s="25" t="inlineStr">
        <is>
          <t>-</t>
        </is>
      </c>
      <c r="N342" s="25" t="inlineStr">
        <is>
          <t>-</t>
        </is>
      </c>
      <c r="O342" s="30" t="inlineStr">
        <is>
          <t>-</t>
        </is>
      </c>
      <c r="P342" s="28" t="n">
        <v>126.699999999999</v>
      </c>
      <c r="Q342" s="28" t="n">
        <v>106.299985459172</v>
      </c>
      <c r="R342" s="28" t="n">
        <v>55.5999999999999</v>
      </c>
      <c r="S342" s="28" t="n">
        <v>39.7383177570093</v>
      </c>
      <c r="T342" s="28" t="n">
        <v>47.3644859813084</v>
      </c>
      <c r="U342" s="28" t="n">
        <v>20.785046728972</v>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FactSet Research Systems</dc:creator>
  <dcterms:created xsi:type="dcterms:W3CDTF">2025-10-03T05:36:53Z</dcterms:created>
  <dcterms:modified xsi:type="dcterms:W3CDTF">2025-11-23T23:40:28Z</dcterms:modified>
  <cp:lastModifiedBy>Anthony Caton</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0x0101006FE73F6C8C29DF40A0DDD869E4BC4F6D</vt:lpwstr>
  </property>
  <property name="MediaServiceImageTags" fmtid="{D5CDD505-2E9C-101B-9397-08002B2CF9AE}" pid="3">
    <vt:lpwstr/>
  </property>
</Properties>
</file>